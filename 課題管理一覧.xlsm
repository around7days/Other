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15075" windowHeight="5115"/>
  </bookViews>
  <sheets>
    <sheet name="一覧" sheetId="1" r:id="rId1"/>
    <sheet name="マスタ" sheetId="2" r:id="rId2"/>
    <sheet name="Sheet3" sheetId="3" r:id="rId3"/>
  </sheets>
  <functionGroups/>
  <definedNames>
    <definedName name="_xlnm._FilterDatabase" localSheetId="0" hidden="1">一覧!$B$5:$T$74</definedName>
    <definedName name="inputTable">一覧!$B$6:$T$73</definedName>
    <definedName name="M_Priority">マスタ!$E$4:$E$7</definedName>
    <definedName name="M_Process">マスタ!$D$4:$D$14</definedName>
    <definedName name="M_Relation">マスタ!$H$4:$H$10</definedName>
    <definedName name="M_Situation">マスタ!$G$4:$G$16</definedName>
    <definedName name="M_Task">マスタ!$F$4:$F$8</definedName>
    <definedName name="M_WorkName">マスタ!$D$21:$D$40</definedName>
  </definedNames>
  <calcPr calcId="125725"/>
</workbook>
</file>

<file path=xl/calcChain.xml><?xml version="1.0" encoding="utf-8"?>
<calcChain xmlns="http://schemas.openxmlformats.org/spreadsheetml/2006/main">
  <c r="B7" i="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alcChain>
</file>

<file path=xl/sharedStrings.xml><?xml version="1.0" encoding="utf-8"?>
<sst xmlns="http://schemas.openxmlformats.org/spreadsheetml/2006/main" count="230" uniqueCount="101">
  <si>
    <t>No.</t>
    <phoneticPr fontId="1"/>
  </si>
  <si>
    <t>対応名</t>
    <rPh sb="0" eb="2">
      <t>タイオウ</t>
    </rPh>
    <rPh sb="2" eb="3">
      <t>メイ</t>
    </rPh>
    <phoneticPr fontId="1"/>
  </si>
  <si>
    <t>タグ</t>
    <phoneticPr fontId="1"/>
  </si>
  <si>
    <t>課題区分</t>
    <rPh sb="0" eb="2">
      <t>カダイ</t>
    </rPh>
    <rPh sb="2" eb="4">
      <t>クブン</t>
    </rPh>
    <phoneticPr fontId="1"/>
  </si>
  <si>
    <t>発信</t>
    <rPh sb="0" eb="2">
      <t>ハッシン</t>
    </rPh>
    <phoneticPr fontId="1"/>
  </si>
  <si>
    <t>記載
工程</t>
    <rPh sb="0" eb="2">
      <t>キサイ</t>
    </rPh>
    <rPh sb="3" eb="5">
      <t>コウテイ</t>
    </rPh>
    <phoneticPr fontId="1"/>
  </si>
  <si>
    <t>課題
区分</t>
    <rPh sb="0" eb="2">
      <t>カダイ</t>
    </rPh>
    <rPh sb="3" eb="5">
      <t>クブン</t>
    </rPh>
    <phoneticPr fontId="1"/>
  </si>
  <si>
    <t>課題内容</t>
    <rPh sb="0" eb="2">
      <t>カダイ</t>
    </rPh>
    <rPh sb="2" eb="4">
      <t>ナイヨウ</t>
    </rPh>
    <phoneticPr fontId="1"/>
  </si>
  <si>
    <t>対応内容</t>
    <rPh sb="0" eb="2">
      <t>タイオウ</t>
    </rPh>
    <rPh sb="2" eb="4">
      <t>ナイヨウ</t>
    </rPh>
    <phoneticPr fontId="1"/>
  </si>
  <si>
    <t>回答者</t>
    <rPh sb="0" eb="2">
      <t>カイトウ</t>
    </rPh>
    <rPh sb="2" eb="3">
      <t>シャ</t>
    </rPh>
    <phoneticPr fontId="1"/>
  </si>
  <si>
    <t>資料
有無</t>
    <rPh sb="0" eb="2">
      <t>シリョウ</t>
    </rPh>
    <rPh sb="3" eb="5">
      <t>ウム</t>
    </rPh>
    <phoneticPr fontId="1"/>
  </si>
  <si>
    <t>関連No</t>
    <rPh sb="0" eb="2">
      <t>カンレン</t>
    </rPh>
    <phoneticPr fontId="1"/>
  </si>
  <si>
    <t>状況</t>
    <rPh sb="0" eb="2">
      <t>ジョウキョウ</t>
    </rPh>
    <phoneticPr fontId="1"/>
  </si>
  <si>
    <t>ステータス</t>
    <phoneticPr fontId="1"/>
  </si>
  <si>
    <t>ステータス一覧</t>
    <rPh sb="5" eb="7">
      <t>イチラン</t>
    </rPh>
    <phoneticPr fontId="1"/>
  </si>
  <si>
    <t>工程</t>
    <rPh sb="0" eb="2">
      <t>コウテイ</t>
    </rPh>
    <phoneticPr fontId="1"/>
  </si>
  <si>
    <t>優先度</t>
    <rPh sb="0" eb="3">
      <t>ユウセンド</t>
    </rPh>
    <phoneticPr fontId="1"/>
  </si>
  <si>
    <t>対応内容一覧</t>
    <rPh sb="0" eb="2">
      <t>タイオウ</t>
    </rPh>
    <rPh sb="2" eb="4">
      <t>ナイヨウ</t>
    </rPh>
    <rPh sb="4" eb="6">
      <t>イチラン</t>
    </rPh>
    <phoneticPr fontId="1"/>
  </si>
  <si>
    <t>UI</t>
    <phoneticPr fontId="1"/>
  </si>
  <si>
    <t>SS</t>
    <phoneticPr fontId="1"/>
  </si>
  <si>
    <t>PG</t>
    <phoneticPr fontId="1"/>
  </si>
  <si>
    <t>PT</t>
    <phoneticPr fontId="1"/>
  </si>
  <si>
    <t>IT</t>
    <phoneticPr fontId="1"/>
  </si>
  <si>
    <t>ST</t>
    <phoneticPr fontId="1"/>
  </si>
  <si>
    <t>UT</t>
    <phoneticPr fontId="1"/>
  </si>
  <si>
    <t>リリース後</t>
    <rPh sb="4" eb="5">
      <t>ゴ</t>
    </rPh>
    <phoneticPr fontId="1"/>
  </si>
  <si>
    <t>その他</t>
    <rPh sb="2" eb="3">
      <t>タ</t>
    </rPh>
    <phoneticPr fontId="1"/>
  </si>
  <si>
    <t>低</t>
    <rPh sb="0" eb="1">
      <t>テイ</t>
    </rPh>
    <phoneticPr fontId="1"/>
  </si>
  <si>
    <t>中</t>
    <rPh sb="0" eb="1">
      <t>チュウ</t>
    </rPh>
    <phoneticPr fontId="1"/>
  </si>
  <si>
    <t>高</t>
    <rPh sb="0" eb="1">
      <t>コウ</t>
    </rPh>
    <phoneticPr fontId="1"/>
  </si>
  <si>
    <t>起票</t>
    <rPh sb="0" eb="2">
      <t>キヒョウ</t>
    </rPh>
    <phoneticPr fontId="1"/>
  </si>
  <si>
    <t>検討中</t>
    <rPh sb="0" eb="3">
      <t>ケントウチュウ</t>
    </rPh>
    <phoneticPr fontId="1"/>
  </si>
  <si>
    <t>保留中</t>
    <rPh sb="0" eb="2">
      <t>ホリュウ</t>
    </rPh>
    <rPh sb="2" eb="3">
      <t>チュウ</t>
    </rPh>
    <phoneticPr fontId="1"/>
  </si>
  <si>
    <t>ユーザ連携待ち</t>
    <rPh sb="3" eb="5">
      <t>レンケイ</t>
    </rPh>
    <rPh sb="5" eb="6">
      <t>マ</t>
    </rPh>
    <phoneticPr fontId="1"/>
  </si>
  <si>
    <t>ユーザ回答待ち</t>
    <rPh sb="3" eb="5">
      <t>カイトウ</t>
    </rPh>
    <rPh sb="5" eb="6">
      <t>マ</t>
    </rPh>
    <phoneticPr fontId="1"/>
  </si>
  <si>
    <t>対応内容確定</t>
    <rPh sb="0" eb="2">
      <t>タイオウ</t>
    </rPh>
    <rPh sb="2" eb="4">
      <t>ナイヨウ</t>
    </rPh>
    <rPh sb="4" eb="6">
      <t>カクテイ</t>
    </rPh>
    <phoneticPr fontId="1"/>
  </si>
  <si>
    <t>対応中</t>
    <rPh sb="0" eb="3">
      <t>タイオウチュウ</t>
    </rPh>
    <phoneticPr fontId="1"/>
  </si>
  <si>
    <t>対応完了</t>
    <rPh sb="0" eb="2">
      <t>タイオウ</t>
    </rPh>
    <rPh sb="2" eb="4">
      <t>カンリョウ</t>
    </rPh>
    <phoneticPr fontId="1"/>
  </si>
  <si>
    <t>対応不要</t>
    <rPh sb="0" eb="2">
      <t>タイオウ</t>
    </rPh>
    <rPh sb="2" eb="4">
      <t>フヨウ</t>
    </rPh>
    <phoneticPr fontId="1"/>
  </si>
  <si>
    <t>完了（仕様確認）</t>
    <rPh sb="0" eb="2">
      <t>カンリョウ</t>
    </rPh>
    <rPh sb="3" eb="5">
      <t>シヨウ</t>
    </rPh>
    <rPh sb="5" eb="7">
      <t>カクニン</t>
    </rPh>
    <phoneticPr fontId="1"/>
  </si>
  <si>
    <t>課題管理No.○</t>
    <rPh sb="0" eb="2">
      <t>カダイ</t>
    </rPh>
    <rPh sb="2" eb="4">
      <t>カンリ</t>
    </rPh>
    <phoneticPr fontId="1"/>
  </si>
  <si>
    <t>障害管理No.○</t>
    <rPh sb="0" eb="2">
      <t>ショウガイ</t>
    </rPh>
    <rPh sb="2" eb="4">
      <t>カンリ</t>
    </rPh>
    <phoneticPr fontId="1"/>
  </si>
  <si>
    <t>仕様変更管理No.○</t>
    <rPh sb="0" eb="2">
      <t>シヨウ</t>
    </rPh>
    <rPh sb="2" eb="4">
      <t>ヘンコウ</t>
    </rPh>
    <rPh sb="4" eb="6">
      <t>カンリ</t>
    </rPh>
    <phoneticPr fontId="1"/>
  </si>
  <si>
    <t>(ユーザ)課題管理No.○</t>
    <rPh sb="5" eb="7">
      <t>カダイ</t>
    </rPh>
    <rPh sb="7" eb="9">
      <t>カンリ</t>
    </rPh>
    <phoneticPr fontId="1"/>
  </si>
  <si>
    <t>対応名等</t>
    <rPh sb="0" eb="2">
      <t>タイオウ</t>
    </rPh>
    <rPh sb="2" eb="3">
      <t>メイ</t>
    </rPh>
    <rPh sb="3" eb="4">
      <t>ナド</t>
    </rPh>
    <phoneticPr fontId="1"/>
  </si>
  <si>
    <t>ステータス詳細</t>
    <rPh sb="5" eb="7">
      <t>ショウサイ</t>
    </rPh>
    <phoneticPr fontId="1"/>
  </si>
  <si>
    <t>作業項目</t>
    <rPh sb="0" eb="2">
      <t>サギョウ</t>
    </rPh>
    <rPh sb="2" eb="4">
      <t>コウモク</t>
    </rPh>
    <phoneticPr fontId="1"/>
  </si>
  <si>
    <t>内容</t>
    <rPh sb="0" eb="2">
      <t>ナイヨウ</t>
    </rPh>
    <phoneticPr fontId="1"/>
  </si>
  <si>
    <t>備考</t>
    <rPh sb="0" eb="2">
      <t>ビコウ</t>
    </rPh>
    <phoneticPr fontId="1"/>
  </si>
  <si>
    <t>基本設計フェーズ</t>
    <rPh sb="0" eb="2">
      <t>キホン</t>
    </rPh>
    <rPh sb="2" eb="4">
      <t>セッケイ</t>
    </rPh>
    <phoneticPr fontId="1"/>
  </si>
  <si>
    <t>詳細設計フェーズ</t>
    <rPh sb="0" eb="2">
      <t>ショウサイ</t>
    </rPh>
    <rPh sb="2" eb="4">
      <t>セッケイ</t>
    </rPh>
    <phoneticPr fontId="1"/>
  </si>
  <si>
    <t>開発フェーズ</t>
    <rPh sb="0" eb="2">
      <t>カイハツ</t>
    </rPh>
    <phoneticPr fontId="1"/>
  </si>
  <si>
    <t>単体テストフェーズ</t>
    <rPh sb="0" eb="2">
      <t>タンタイ</t>
    </rPh>
    <phoneticPr fontId="1"/>
  </si>
  <si>
    <t>結合テストフェーズ</t>
    <rPh sb="0" eb="2">
      <t>ケツゴウ</t>
    </rPh>
    <phoneticPr fontId="1"/>
  </si>
  <si>
    <t>システムテストフェーズ</t>
    <phoneticPr fontId="1"/>
  </si>
  <si>
    <t>ユーザテストフェーズ</t>
    <phoneticPr fontId="1"/>
  </si>
  <si>
    <t>本番リリース後</t>
    <rPh sb="0" eb="2">
      <t>ホンバン</t>
    </rPh>
    <rPh sb="6" eb="7">
      <t>ゴ</t>
    </rPh>
    <phoneticPr fontId="1"/>
  </si>
  <si>
    <t>優先度が低</t>
    <rPh sb="0" eb="3">
      <t>ユウセンド</t>
    </rPh>
    <rPh sb="4" eb="5">
      <t>テイ</t>
    </rPh>
    <phoneticPr fontId="1"/>
  </si>
  <si>
    <t>優先度が中</t>
    <rPh sb="0" eb="3">
      <t>ユウセンド</t>
    </rPh>
    <rPh sb="4" eb="5">
      <t>ナカ</t>
    </rPh>
    <phoneticPr fontId="1"/>
  </si>
  <si>
    <t>優先度が高</t>
    <rPh sb="0" eb="3">
      <t>ユウセンド</t>
    </rPh>
    <rPh sb="4" eb="5">
      <t>コウ</t>
    </rPh>
    <phoneticPr fontId="1"/>
  </si>
  <si>
    <t>起票者が入力した状態</t>
    <rPh sb="0" eb="2">
      <t>キヒョウ</t>
    </rPh>
    <rPh sb="2" eb="3">
      <t>シャ</t>
    </rPh>
    <rPh sb="4" eb="6">
      <t>ニュウリョク</t>
    </rPh>
    <rPh sb="8" eb="10">
      <t>ジョウタイ</t>
    </rPh>
    <phoneticPr fontId="1"/>
  </si>
  <si>
    <t>内部で検討中の状態</t>
    <rPh sb="0" eb="2">
      <t>ナイブ</t>
    </rPh>
    <rPh sb="3" eb="6">
      <t>ケントウチュウ</t>
    </rPh>
    <rPh sb="7" eb="9">
      <t>ジョウタイ</t>
    </rPh>
    <phoneticPr fontId="1"/>
  </si>
  <si>
    <t>内部で保留中の状態</t>
    <rPh sb="0" eb="2">
      <t>ナイブ</t>
    </rPh>
    <rPh sb="3" eb="6">
      <t>ホリュウチュウ</t>
    </rPh>
    <rPh sb="7" eb="9">
      <t>ジョウタイ</t>
    </rPh>
    <phoneticPr fontId="1"/>
  </si>
  <si>
    <t>ユーザ様からの回答待ちの状態</t>
    <rPh sb="3" eb="4">
      <t>サマ</t>
    </rPh>
    <rPh sb="7" eb="9">
      <t>カイトウ</t>
    </rPh>
    <rPh sb="9" eb="10">
      <t>マ</t>
    </rPh>
    <rPh sb="12" eb="14">
      <t>ジョウタイ</t>
    </rPh>
    <phoneticPr fontId="1"/>
  </si>
  <si>
    <t>対応内容が確定したが、まだ対応内容を反映していない状態</t>
    <rPh sb="0" eb="2">
      <t>タイオウ</t>
    </rPh>
    <rPh sb="2" eb="4">
      <t>ナイヨウ</t>
    </rPh>
    <rPh sb="5" eb="7">
      <t>カクテイ</t>
    </rPh>
    <rPh sb="13" eb="15">
      <t>タイオウ</t>
    </rPh>
    <rPh sb="15" eb="17">
      <t>ナイヨウ</t>
    </rPh>
    <rPh sb="18" eb="20">
      <t>ハンエイ</t>
    </rPh>
    <rPh sb="25" eb="27">
      <t>ジョウタイ</t>
    </rPh>
    <phoneticPr fontId="1"/>
  </si>
  <si>
    <t>対応中の状態</t>
    <rPh sb="0" eb="2">
      <t>タイオウ</t>
    </rPh>
    <rPh sb="2" eb="3">
      <t>チュウ</t>
    </rPh>
    <rPh sb="4" eb="6">
      <t>ジョウタイ</t>
    </rPh>
    <phoneticPr fontId="1"/>
  </si>
  <si>
    <t>対応内容が完了</t>
    <rPh sb="0" eb="2">
      <t>タイオウ</t>
    </rPh>
    <rPh sb="2" eb="4">
      <t>ナイヨウ</t>
    </rPh>
    <rPh sb="5" eb="7">
      <t>カンリョウ</t>
    </rPh>
    <phoneticPr fontId="1"/>
  </si>
  <si>
    <t>対応が不要となった状態</t>
    <rPh sb="0" eb="2">
      <t>タイオウ</t>
    </rPh>
    <rPh sb="3" eb="5">
      <t>フヨウ</t>
    </rPh>
    <rPh sb="9" eb="11">
      <t>ジョウタイ</t>
    </rPh>
    <phoneticPr fontId="1"/>
  </si>
  <si>
    <t>対応が完了し、仕様内容の確認の状態</t>
    <rPh sb="0" eb="2">
      <t>タイオウ</t>
    </rPh>
    <rPh sb="3" eb="5">
      <t>カンリョウ</t>
    </rPh>
    <rPh sb="7" eb="9">
      <t>シヨウ</t>
    </rPh>
    <rPh sb="9" eb="11">
      <t>ナイヨウ</t>
    </rPh>
    <rPh sb="12" eb="14">
      <t>カクニン</t>
    </rPh>
    <rPh sb="15" eb="17">
      <t>ジョウタイ</t>
    </rPh>
    <phoneticPr fontId="1"/>
  </si>
  <si>
    <t>課題管理の一覧内の別項目と関連があるNo</t>
    <rPh sb="0" eb="2">
      <t>カダイ</t>
    </rPh>
    <rPh sb="2" eb="4">
      <t>カンリ</t>
    </rPh>
    <rPh sb="5" eb="7">
      <t>イチラン</t>
    </rPh>
    <rPh sb="7" eb="8">
      <t>ナイ</t>
    </rPh>
    <rPh sb="9" eb="10">
      <t>ベツ</t>
    </rPh>
    <rPh sb="10" eb="12">
      <t>コウモク</t>
    </rPh>
    <rPh sb="13" eb="15">
      <t>カンレン</t>
    </rPh>
    <phoneticPr fontId="1"/>
  </si>
  <si>
    <t>障害管理の一覧内の別項目と関連があるNo</t>
    <rPh sb="0" eb="2">
      <t>ショウガイ</t>
    </rPh>
    <rPh sb="2" eb="4">
      <t>カンリ</t>
    </rPh>
    <rPh sb="5" eb="7">
      <t>イチラン</t>
    </rPh>
    <rPh sb="7" eb="8">
      <t>ナイ</t>
    </rPh>
    <rPh sb="9" eb="10">
      <t>ベツ</t>
    </rPh>
    <rPh sb="10" eb="12">
      <t>コウモク</t>
    </rPh>
    <rPh sb="13" eb="15">
      <t>カンレン</t>
    </rPh>
    <phoneticPr fontId="1"/>
  </si>
  <si>
    <t>仕様変更管理の一覧内の別項目と関連があるNo</t>
    <rPh sb="0" eb="2">
      <t>シヨウ</t>
    </rPh>
    <rPh sb="2" eb="4">
      <t>ヘンコウ</t>
    </rPh>
    <rPh sb="4" eb="6">
      <t>カンリ</t>
    </rPh>
    <rPh sb="7" eb="9">
      <t>イチラン</t>
    </rPh>
    <rPh sb="9" eb="10">
      <t>ナイ</t>
    </rPh>
    <rPh sb="11" eb="12">
      <t>ベツ</t>
    </rPh>
    <rPh sb="12" eb="14">
      <t>コウモク</t>
    </rPh>
    <rPh sb="15" eb="17">
      <t>カンレン</t>
    </rPh>
    <phoneticPr fontId="1"/>
  </si>
  <si>
    <t>（ユーザ）課題管理の一覧内の別項目と関連があるNo</t>
    <rPh sb="5" eb="7">
      <t>カダイ</t>
    </rPh>
    <rPh sb="7" eb="9">
      <t>カンリ</t>
    </rPh>
    <rPh sb="10" eb="12">
      <t>イチラン</t>
    </rPh>
    <rPh sb="12" eb="13">
      <t>ナイ</t>
    </rPh>
    <rPh sb="14" eb="15">
      <t>ベツ</t>
    </rPh>
    <rPh sb="15" eb="17">
      <t>コウモク</t>
    </rPh>
    <rPh sb="18" eb="20">
      <t>カンレン</t>
    </rPh>
    <phoneticPr fontId="1"/>
  </si>
  <si>
    <t>（ユーザ）変更管理No.○</t>
    <rPh sb="5" eb="7">
      <t>ヘンコウ</t>
    </rPh>
    <rPh sb="7" eb="9">
      <t>カンリ</t>
    </rPh>
    <phoneticPr fontId="1"/>
  </si>
  <si>
    <t>変更管理の一覧内の別項目と関連があるNo</t>
    <rPh sb="0" eb="2">
      <t>ヘンコウ</t>
    </rPh>
    <rPh sb="2" eb="4">
      <t>カンリ</t>
    </rPh>
    <rPh sb="5" eb="7">
      <t>イチラン</t>
    </rPh>
    <rPh sb="7" eb="8">
      <t>ナイ</t>
    </rPh>
    <rPh sb="9" eb="10">
      <t>ベツ</t>
    </rPh>
    <rPh sb="10" eb="12">
      <t>コウモク</t>
    </rPh>
    <rPh sb="13" eb="15">
      <t>カンレン</t>
    </rPh>
    <phoneticPr fontId="1"/>
  </si>
  <si>
    <t>概要確認</t>
    <rPh sb="0" eb="2">
      <t>ガイヨウ</t>
    </rPh>
    <rPh sb="2" eb="4">
      <t>カクニン</t>
    </rPh>
    <phoneticPr fontId="1"/>
  </si>
  <si>
    <t>仕様確認</t>
    <rPh sb="0" eb="2">
      <t>シヨウ</t>
    </rPh>
    <rPh sb="2" eb="4">
      <t>カクニン</t>
    </rPh>
    <phoneticPr fontId="1"/>
  </si>
  <si>
    <t>TODO</t>
    <phoneticPr fontId="1"/>
  </si>
  <si>
    <t>Q&amp;A</t>
    <phoneticPr fontId="1"/>
  </si>
  <si>
    <t>課題</t>
    <rPh sb="0" eb="2">
      <t>カダイ</t>
    </rPh>
    <phoneticPr fontId="1"/>
  </si>
  <si>
    <t>連携</t>
    <rPh sb="0" eb="2">
      <t>レンケイ</t>
    </rPh>
    <phoneticPr fontId="1"/>
  </si>
  <si>
    <t>質問事項</t>
    <rPh sb="0" eb="2">
      <t>シツモン</t>
    </rPh>
    <rPh sb="2" eb="4">
      <t>ジコウ</t>
    </rPh>
    <phoneticPr fontId="1"/>
  </si>
  <si>
    <t>対応内容に関しての課題</t>
    <rPh sb="0" eb="2">
      <t>タイオウ</t>
    </rPh>
    <rPh sb="2" eb="4">
      <t>ナイヨウ</t>
    </rPh>
    <rPh sb="5" eb="6">
      <t>カン</t>
    </rPh>
    <rPh sb="9" eb="11">
      <t>カダイ</t>
    </rPh>
    <phoneticPr fontId="1"/>
  </si>
  <si>
    <t>連携情報</t>
    <rPh sb="0" eb="2">
      <t>レンケイ</t>
    </rPh>
    <rPh sb="2" eb="4">
      <t>ジョウホウ</t>
    </rPh>
    <phoneticPr fontId="1"/>
  </si>
  <si>
    <t>記入</t>
    <rPh sb="0" eb="2">
      <t>キニュウ</t>
    </rPh>
    <phoneticPr fontId="1"/>
  </si>
  <si>
    <t>回答
希望</t>
    <rPh sb="0" eb="2">
      <t>カイトウ</t>
    </rPh>
    <rPh sb="3" eb="5">
      <t>キボウ</t>
    </rPh>
    <phoneticPr fontId="1"/>
  </si>
  <si>
    <t>対応
予定</t>
    <rPh sb="0" eb="2">
      <t>タイオウ</t>
    </rPh>
    <rPh sb="3" eb="5">
      <t>ヨテイ</t>
    </rPh>
    <phoneticPr fontId="1"/>
  </si>
  <si>
    <t>対応
完了</t>
    <rPh sb="0" eb="2">
      <t>タイオウ</t>
    </rPh>
    <rPh sb="3" eb="5">
      <t>カンリョウ</t>
    </rPh>
    <phoneticPr fontId="1"/>
  </si>
  <si>
    <t>最終
更新</t>
    <rPh sb="0" eb="2">
      <t>サイシュウ</t>
    </rPh>
    <rPh sb="3" eb="5">
      <t>コウシン</t>
    </rPh>
    <phoneticPr fontId="1"/>
  </si>
  <si>
    <t>※上記は「名前の管理」にて参照範囲を管理追加等実施した場合は名前の管理設定を見直す</t>
    <rPh sb="1" eb="3">
      <t>ジョウキ</t>
    </rPh>
    <rPh sb="5" eb="7">
      <t>ナマエ</t>
    </rPh>
    <rPh sb="8" eb="10">
      <t>カンリ</t>
    </rPh>
    <rPh sb="13" eb="15">
      <t>サンショウ</t>
    </rPh>
    <rPh sb="15" eb="17">
      <t>ハンイ</t>
    </rPh>
    <rPh sb="18" eb="20">
      <t>カンリ</t>
    </rPh>
    <rPh sb="20" eb="22">
      <t>ツイカ</t>
    </rPh>
    <rPh sb="22" eb="23">
      <t>ナド</t>
    </rPh>
    <rPh sb="23" eb="25">
      <t>ジッシ</t>
    </rPh>
    <rPh sb="27" eb="29">
      <t>バアイ</t>
    </rPh>
    <rPh sb="30" eb="32">
      <t>ナマエ</t>
    </rPh>
    <rPh sb="33" eb="35">
      <t>カンリ</t>
    </rPh>
    <rPh sb="35" eb="37">
      <t>セッテイ</t>
    </rPh>
    <rPh sb="38" eb="40">
      <t>ミナオ</t>
    </rPh>
    <phoneticPr fontId="1"/>
  </si>
  <si>
    <t>資料名</t>
    <rPh sb="0" eb="2">
      <t>シリョウ</t>
    </rPh>
    <rPh sb="2" eb="3">
      <t>メイ</t>
    </rPh>
    <phoneticPr fontId="1"/>
  </si>
  <si>
    <t>ユーザ様への連携課題、資料作成実施中または資料作成前状態</t>
    <rPh sb="3" eb="4">
      <t>サマ</t>
    </rPh>
    <rPh sb="6" eb="8">
      <t>レンケイ</t>
    </rPh>
    <rPh sb="8" eb="10">
      <t>カダイ</t>
    </rPh>
    <rPh sb="11" eb="13">
      <t>シリョウ</t>
    </rPh>
    <rPh sb="13" eb="15">
      <t>サクセイ</t>
    </rPh>
    <rPh sb="15" eb="17">
      <t>ジッシ</t>
    </rPh>
    <rPh sb="17" eb="18">
      <t>チュウ</t>
    </rPh>
    <rPh sb="21" eb="23">
      <t>シリョウ</t>
    </rPh>
    <rPh sb="23" eb="25">
      <t>サクセイ</t>
    </rPh>
    <rPh sb="25" eb="26">
      <t>マエ</t>
    </rPh>
    <rPh sb="26" eb="28">
      <t>ジョウタイ</t>
    </rPh>
    <phoneticPr fontId="1"/>
  </si>
  <si>
    <t>重要度</t>
    <rPh sb="0" eb="3">
      <t>ジュウヨウド</t>
    </rPh>
    <phoneticPr fontId="1"/>
  </si>
  <si>
    <t>↑</t>
    <phoneticPr fontId="1"/>
  </si>
  <si>
    <t>ユーザ連携(資料作成中)</t>
  </si>
  <si>
    <t>ユーザ連携(資料作成中)</t>
    <phoneticPr fontId="1"/>
  </si>
  <si>
    <t>ユーザ連携待ち(ﾚﾋﾞｭｰ時確認)</t>
    <rPh sb="5" eb="6">
      <t>マ</t>
    </rPh>
    <rPh sb="13" eb="14">
      <t>ジ</t>
    </rPh>
    <rPh sb="14" eb="16">
      <t>カクニン</t>
    </rPh>
    <phoneticPr fontId="1"/>
  </si>
  <si>
    <t>ユーザ様へメール・Q&amp;A一覧にて課題の連携待ちの状態</t>
    <rPh sb="3" eb="4">
      <t>サマ</t>
    </rPh>
    <rPh sb="12" eb="14">
      <t>イチラン</t>
    </rPh>
    <rPh sb="16" eb="18">
      <t>カダイ</t>
    </rPh>
    <rPh sb="19" eb="21">
      <t>レンケイ</t>
    </rPh>
    <rPh sb="21" eb="22">
      <t>マ</t>
    </rPh>
    <rPh sb="24" eb="26">
      <t>ジョウタイ</t>
    </rPh>
    <phoneticPr fontId="1"/>
  </si>
  <si>
    <t>ユーザ様へ課題をレビュー時に確認・連携する状態</t>
    <rPh sb="3" eb="4">
      <t>サマ</t>
    </rPh>
    <rPh sb="5" eb="7">
      <t>カダイ</t>
    </rPh>
    <rPh sb="12" eb="13">
      <t>ジ</t>
    </rPh>
    <rPh sb="14" eb="16">
      <t>カクニン</t>
    </rPh>
    <rPh sb="17" eb="19">
      <t>レンケイ</t>
    </rPh>
    <rPh sb="21" eb="23">
      <t>ジョウタイ</t>
    </rPh>
    <phoneticPr fontId="1"/>
  </si>
  <si>
    <t>サンプル</t>
    <phoneticPr fontId="1"/>
  </si>
  <si>
    <t>←</t>
    <phoneticPr fontId="1"/>
  </si>
</sst>
</file>

<file path=xl/styles.xml><?xml version="1.0" encoding="utf-8"?>
<styleSheet xmlns="http://schemas.openxmlformats.org/spreadsheetml/2006/main">
  <numFmts count="1">
    <numFmt numFmtId="176" formatCode="m/d;@"/>
  </numFmts>
  <fonts count="5">
    <font>
      <sz val="11"/>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sz val="11"/>
      <name val="ＭＳ Ｐゴシック"/>
      <family val="2"/>
      <charset val="128"/>
      <scheme val="minor"/>
    </font>
    <font>
      <sz val="11"/>
      <name val="ＭＳ Ｐゴシック"/>
      <family val="3"/>
      <charset val="128"/>
      <scheme val="minor"/>
    </font>
  </fonts>
  <fills count="9">
    <fill>
      <patternFill patternType="none"/>
    </fill>
    <fill>
      <patternFill patternType="gray125"/>
    </fill>
    <fill>
      <patternFill patternType="solid">
        <fgColor theme="8" tint="0.7999816888943144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6"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top/>
      <bottom/>
      <diagonal/>
    </border>
  </borders>
  <cellStyleXfs count="1">
    <xf numFmtId="0" fontId="0" fillId="0" borderId="0">
      <alignment vertical="center"/>
    </xf>
  </cellStyleXfs>
  <cellXfs count="30">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0" fillId="2" borderId="1" xfId="0"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0" borderId="4" xfId="0" applyBorder="1">
      <alignment vertical="center"/>
    </xf>
    <xf numFmtId="0" fontId="0" fillId="2" borderId="5" xfId="0" applyFill="1" applyBorder="1" applyAlignment="1">
      <alignment horizontal="center" vertical="center"/>
    </xf>
    <xf numFmtId="0" fontId="0" fillId="2" borderId="5" xfId="0" applyFill="1" applyBorder="1" applyAlignment="1">
      <alignment horizontal="center" vertical="center" wrapText="1"/>
    </xf>
    <xf numFmtId="0" fontId="0" fillId="0" borderId="1" xfId="0" applyFill="1" applyBorder="1">
      <alignment vertical="center"/>
    </xf>
    <xf numFmtId="176"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4" xfId="0" applyBorder="1" applyAlignment="1">
      <alignment vertical="center" wrapText="1"/>
    </xf>
    <xf numFmtId="0" fontId="0" fillId="0" borderId="6" xfId="0" applyFill="1" applyBorder="1">
      <alignment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0" fillId="3" borderId="1"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8" borderId="1" xfId="0" applyFill="1" applyBorder="1">
      <alignment vertical="center"/>
    </xf>
    <xf numFmtId="0" fontId="0" fillId="7" borderId="4" xfId="0" applyFill="1" applyBorder="1" applyProtection="1">
      <alignment vertical="center"/>
    </xf>
    <xf numFmtId="176" fontId="0" fillId="7" borderId="4" xfId="0" applyNumberFormat="1" applyFill="1" applyBorder="1" applyAlignment="1" applyProtection="1">
      <alignment horizontal="center" vertical="center"/>
    </xf>
    <xf numFmtId="0" fontId="0" fillId="7" borderId="4" xfId="0" applyFill="1" applyBorder="1" applyAlignment="1" applyProtection="1">
      <alignment horizontal="center" vertical="center"/>
    </xf>
    <xf numFmtId="0" fontId="0" fillId="7" borderId="4" xfId="0" applyFill="1" applyBorder="1" applyAlignment="1" applyProtection="1">
      <alignment vertical="center" wrapText="1"/>
    </xf>
    <xf numFmtId="0" fontId="0" fillId="7" borderId="4" xfId="0" applyFill="1" applyBorder="1" applyAlignment="1" applyProtection="1">
      <alignment horizontal="center" vertical="center" wrapText="1"/>
    </xf>
    <xf numFmtId="0" fontId="3" fillId="6" borderId="1" xfId="0" applyFont="1" applyFill="1" applyBorder="1">
      <alignment vertical="center"/>
    </xf>
    <xf numFmtId="0" fontId="4" fillId="6" borderId="1" xfId="0" applyFont="1" applyFill="1" applyBorder="1">
      <alignment vertical="center"/>
    </xf>
    <xf numFmtId="0" fontId="0" fillId="0" borderId="7" xfId="0" applyFill="1" applyBorder="1" applyAlignment="1">
      <alignment horizontal="left" vertical="center" wrapText="1"/>
    </xf>
  </cellXfs>
  <cellStyles count="1">
    <cellStyle name="標準" xfId="0" builtinId="0"/>
  </cellStyles>
  <dxfs count="340">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rgb="FFF2DDDC"/>
        </patternFill>
      </fill>
    </dxf>
    <dxf>
      <fill>
        <patternFill>
          <bgColor rgb="FFFFFF99"/>
        </patternFill>
      </fill>
    </dxf>
    <dxf>
      <fill>
        <patternFill>
          <bgColor rgb="FFBFBFBF"/>
        </patternFill>
      </fill>
    </dxf>
    <dxf>
      <fill>
        <patternFill>
          <bgColor rgb="FFEAF1DD"/>
        </patternFill>
      </fill>
    </dxf>
    <dxf>
      <fill>
        <patternFill>
          <bgColor rgb="FFFCD5B4"/>
        </patternFill>
      </fill>
    </dxf>
    <dxf>
      <fill>
        <patternFill>
          <bgColor theme="5" tint="0.79998168889431442"/>
        </patternFill>
      </fill>
    </dxf>
    <dxf>
      <fill>
        <patternFill>
          <bgColor rgb="FFFFFF99"/>
        </patternFill>
      </fill>
    </dxf>
    <dxf>
      <fill>
        <patternFill>
          <bgColor theme="0" tint="-0.24994659260841701"/>
        </patternFill>
      </fill>
    </dxf>
    <dxf>
      <fill>
        <patternFill>
          <bgColor theme="6" tint="0.79998168889431442"/>
        </patternFill>
      </fill>
    </dxf>
    <dxf>
      <font>
        <color rgb="FFFF0000"/>
      </font>
      <fill>
        <patternFill>
          <bgColor theme="9" tint="0.59996337778862885"/>
        </patternFill>
      </fill>
    </dxf>
  </dxfs>
  <tableStyles count="0" defaultTableStyle="TableStyleMedium9" defaultPivotStyle="PivotStyleLight16"/>
  <colors>
    <mruColors>
      <color rgb="FFFF7C80"/>
      <color rgb="FFFF5050"/>
      <color rgb="FFFFCCFF"/>
      <color rgb="FFFF99FF"/>
      <color rgb="FF99FFCC"/>
      <color rgb="FF66FF99"/>
      <color rgb="FF99FF66"/>
      <color rgb="FF66FFCC"/>
      <color rgb="FFFFFF99"/>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5:U74"/>
  <sheetViews>
    <sheetView tabSelected="1" zoomScale="70" zoomScaleNormal="70" workbookViewId="0">
      <pane xSplit="4" ySplit="5" topLeftCell="E6" activePane="bottomRight" state="frozen"/>
      <selection pane="topRight" activeCell="E1" sqref="E1"/>
      <selection pane="bottomLeft" activeCell="A4" sqref="A4"/>
      <selection pane="bottomRight"/>
    </sheetView>
  </sheetViews>
  <sheetFormatPr defaultRowHeight="13.5"/>
  <cols>
    <col min="1" max="1" width="2.625" customWidth="1"/>
    <col min="2" max="2" width="4.125" bestFit="1" customWidth="1"/>
    <col min="3" max="3" width="24" bestFit="1" customWidth="1"/>
    <col min="4" max="4" width="20.875" bestFit="1" customWidth="1"/>
    <col min="5" max="5" width="6.5" style="1" bestFit="1" customWidth="1"/>
    <col min="6" max="6" width="5.25" bestFit="1" customWidth="1"/>
    <col min="7" max="7" width="7.25" style="1" bestFit="1" customWidth="1"/>
    <col min="8" max="8" width="6.75" style="1" bestFit="1" customWidth="1"/>
    <col min="9" max="9" width="6.75" style="1" customWidth="1"/>
    <col min="10" max="10" width="61.25" style="17" customWidth="1"/>
    <col min="11" max="11" width="60.625" style="17" customWidth="1"/>
    <col min="12" max="12" width="6.5" style="1" bestFit="1" customWidth="1"/>
    <col min="13" max="13" width="7.125" style="1" bestFit="1" customWidth="1"/>
    <col min="14" max="14" width="5.625" style="1" bestFit="1" customWidth="1"/>
    <col min="15" max="16" width="6.5" style="1" bestFit="1" customWidth="1"/>
    <col min="17" max="17" width="5.25" style="1" bestFit="1" customWidth="1"/>
    <col min="18" max="18" width="15.5" style="16" customWidth="1"/>
    <col min="19" max="19" width="21.5" style="1" bestFit="1" customWidth="1"/>
    <col min="20" max="20" width="28" style="1" bestFit="1" customWidth="1"/>
  </cols>
  <sheetData>
    <row r="5" spans="2:21" ht="27.75" thickBot="1">
      <c r="B5" s="8" t="s">
        <v>0</v>
      </c>
      <c r="C5" s="8" t="s">
        <v>1</v>
      </c>
      <c r="D5" s="8" t="s">
        <v>2</v>
      </c>
      <c r="E5" s="8" t="s">
        <v>84</v>
      </c>
      <c r="F5" s="8" t="s">
        <v>4</v>
      </c>
      <c r="G5" s="9" t="s">
        <v>5</v>
      </c>
      <c r="H5" s="9" t="s">
        <v>6</v>
      </c>
      <c r="I5" s="9" t="s">
        <v>92</v>
      </c>
      <c r="J5" s="9" t="s">
        <v>7</v>
      </c>
      <c r="K5" s="9" t="s">
        <v>8</v>
      </c>
      <c r="L5" s="9" t="s">
        <v>85</v>
      </c>
      <c r="M5" s="9" t="s">
        <v>9</v>
      </c>
      <c r="N5" s="9" t="s">
        <v>86</v>
      </c>
      <c r="O5" s="9" t="s">
        <v>87</v>
      </c>
      <c r="P5" s="9" t="s">
        <v>88</v>
      </c>
      <c r="Q5" s="9" t="s">
        <v>10</v>
      </c>
      <c r="R5" s="9" t="s">
        <v>90</v>
      </c>
      <c r="S5" s="9" t="s">
        <v>11</v>
      </c>
      <c r="T5" s="9" t="s">
        <v>12</v>
      </c>
      <c r="U5" s="29" t="s">
        <v>100</v>
      </c>
    </row>
    <row r="6" spans="2:21" ht="14.25" thickTop="1">
      <c r="B6" s="22"/>
      <c r="C6" s="22" t="s">
        <v>99</v>
      </c>
      <c r="D6" s="22"/>
      <c r="E6" s="23"/>
      <c r="F6" s="24"/>
      <c r="G6" s="24"/>
      <c r="H6" s="24"/>
      <c r="I6" s="24"/>
      <c r="J6" s="25"/>
      <c r="K6" s="25"/>
      <c r="L6" s="23"/>
      <c r="M6" s="24"/>
      <c r="N6" s="23"/>
      <c r="O6" s="23"/>
      <c r="P6" s="23"/>
      <c r="Q6" s="24"/>
      <c r="R6" s="26"/>
      <c r="S6" s="24"/>
      <c r="T6" s="24"/>
      <c r="U6" t="s">
        <v>100</v>
      </c>
    </row>
    <row r="7" spans="2:21">
      <c r="B7" s="7">
        <f ca="1">IF(AND(NOT(ISBLANK(OFFSET($B7,-1,0))),ISNUMBER(OFFSET($B7,-1,0))),MAX($B$5:$B6)+1,1)</f>
        <v>1</v>
      </c>
      <c r="C7" s="7"/>
      <c r="D7" s="7"/>
      <c r="E7" s="11"/>
      <c r="F7" s="12"/>
      <c r="G7" s="12"/>
      <c r="H7" s="12"/>
      <c r="I7" s="12"/>
      <c r="J7" s="13"/>
      <c r="K7" s="13"/>
      <c r="L7" s="11"/>
      <c r="M7" s="12"/>
      <c r="N7" s="11"/>
      <c r="O7" s="11"/>
      <c r="P7" s="11"/>
      <c r="Q7" s="12"/>
      <c r="R7" s="15"/>
      <c r="S7" s="12"/>
      <c r="T7" s="12"/>
      <c r="U7" t="s">
        <v>100</v>
      </c>
    </row>
    <row r="8" spans="2:21">
      <c r="B8" s="7">
        <f ca="1">IF(AND(NOT(ISBLANK(OFFSET($B8,-1,0))),ISNUMBER(OFFSET($B8,-1,0))),MAX($B$5:$B7)+1,1)</f>
        <v>2</v>
      </c>
      <c r="C8" s="7"/>
      <c r="D8" s="7"/>
      <c r="E8" s="11"/>
      <c r="F8" s="7"/>
      <c r="G8" s="12"/>
      <c r="H8" s="12"/>
      <c r="I8" s="12"/>
      <c r="J8" s="13"/>
      <c r="K8" s="13"/>
      <c r="L8" s="11"/>
      <c r="M8" s="12"/>
      <c r="N8" s="11"/>
      <c r="O8" s="11"/>
      <c r="P8" s="11"/>
      <c r="Q8" s="12"/>
      <c r="R8" s="15"/>
      <c r="S8" s="12"/>
      <c r="T8" s="12"/>
      <c r="U8" t="s">
        <v>100</v>
      </c>
    </row>
    <row r="9" spans="2:21">
      <c r="B9" s="7">
        <f ca="1">IF(AND(NOT(ISBLANK(OFFSET($B9,-1,0))),ISNUMBER(OFFSET($B9,-1,0))),MAX($B$5:$B8)+1,1)</f>
        <v>3</v>
      </c>
      <c r="C9" s="7"/>
      <c r="D9" s="7"/>
      <c r="E9" s="11"/>
      <c r="F9" s="7"/>
      <c r="G9" s="12"/>
      <c r="H9" s="12"/>
      <c r="I9" s="12"/>
      <c r="J9" s="13"/>
      <c r="K9" s="13"/>
      <c r="L9" s="11"/>
      <c r="M9" s="12"/>
      <c r="N9" s="11"/>
      <c r="O9" s="11"/>
      <c r="P9" s="11"/>
      <c r="Q9" s="12"/>
      <c r="R9" s="15"/>
      <c r="S9" s="12"/>
      <c r="T9" s="12"/>
      <c r="U9" t="s">
        <v>100</v>
      </c>
    </row>
    <row r="10" spans="2:21">
      <c r="B10" s="7">
        <f ca="1">IF(AND(NOT(ISBLANK(OFFSET($B10,-1,0))),ISNUMBER(OFFSET($B10,-1,0))),MAX($B$5:$B9)+1,1)</f>
        <v>4</v>
      </c>
      <c r="C10" s="7"/>
      <c r="D10" s="7"/>
      <c r="E10" s="11"/>
      <c r="F10" s="7"/>
      <c r="G10" s="12"/>
      <c r="H10" s="12"/>
      <c r="I10" s="12"/>
      <c r="J10" s="13"/>
      <c r="K10" s="13"/>
      <c r="L10" s="11"/>
      <c r="M10" s="12"/>
      <c r="N10" s="11"/>
      <c r="O10" s="11"/>
      <c r="P10" s="11"/>
      <c r="Q10" s="12"/>
      <c r="R10" s="15"/>
      <c r="S10" s="12"/>
      <c r="T10" s="12"/>
      <c r="U10" t="s">
        <v>100</v>
      </c>
    </row>
    <row r="11" spans="2:21">
      <c r="B11" s="7">
        <f ca="1">IF(AND(NOT(ISBLANK(OFFSET($B11,-1,0))),ISNUMBER(OFFSET($B11,-1,0))),MAX($B$5:$B10)+1,1)</f>
        <v>5</v>
      </c>
      <c r="C11" s="7"/>
      <c r="D11" s="7"/>
      <c r="E11" s="11"/>
      <c r="F11" s="7"/>
      <c r="G11" s="12"/>
      <c r="H11" s="12"/>
      <c r="I11" s="12"/>
      <c r="J11" s="13"/>
      <c r="K11" s="13"/>
      <c r="L11" s="11"/>
      <c r="M11" s="12"/>
      <c r="N11" s="11"/>
      <c r="O11" s="11"/>
      <c r="P11" s="11"/>
      <c r="Q11" s="12"/>
      <c r="R11" s="15"/>
      <c r="S11" s="12"/>
      <c r="T11" s="12"/>
      <c r="U11" t="s">
        <v>100</v>
      </c>
    </row>
    <row r="12" spans="2:21">
      <c r="B12" s="7">
        <f ca="1">IF(AND(NOT(ISBLANK(OFFSET($B12,-1,0))),ISNUMBER(OFFSET($B12,-1,0))),MAX($B$5:$B11)+1,1)</f>
        <v>6</v>
      </c>
      <c r="C12" s="7"/>
      <c r="D12" s="7"/>
      <c r="E12" s="11"/>
      <c r="F12" s="7"/>
      <c r="G12" s="12"/>
      <c r="H12" s="12"/>
      <c r="I12" s="12"/>
      <c r="J12" s="13"/>
      <c r="K12" s="13"/>
      <c r="L12" s="11"/>
      <c r="M12" s="12"/>
      <c r="N12" s="11"/>
      <c r="O12" s="11"/>
      <c r="P12" s="11"/>
      <c r="Q12" s="12"/>
      <c r="R12" s="15"/>
      <c r="S12" s="12"/>
      <c r="T12" s="12"/>
      <c r="U12" t="s">
        <v>100</v>
      </c>
    </row>
    <row r="13" spans="2:21">
      <c r="B13" s="7">
        <f ca="1">IF(AND(NOT(ISBLANK(OFFSET($B13,-1,0))),ISNUMBER(OFFSET($B13,-1,0))),MAX($B$5:$B12)+1,1)</f>
        <v>7</v>
      </c>
      <c r="C13" s="7"/>
      <c r="D13" s="7"/>
      <c r="E13" s="11"/>
      <c r="F13" s="7"/>
      <c r="G13" s="12"/>
      <c r="H13" s="12"/>
      <c r="I13" s="12"/>
      <c r="J13" s="13"/>
      <c r="K13" s="13"/>
      <c r="L13" s="11"/>
      <c r="M13" s="12"/>
      <c r="N13" s="11"/>
      <c r="O13" s="11"/>
      <c r="P13" s="11"/>
      <c r="Q13" s="12"/>
      <c r="R13" s="15"/>
      <c r="S13" s="12"/>
      <c r="T13" s="12"/>
      <c r="U13" t="s">
        <v>100</v>
      </c>
    </row>
    <row r="14" spans="2:21">
      <c r="B14" s="7">
        <f ca="1">IF(AND(NOT(ISBLANK(OFFSET($B14,-1,0))),ISNUMBER(OFFSET($B14,-1,0))),MAX($B$5:$B13)+1,1)</f>
        <v>8</v>
      </c>
      <c r="C14" s="7"/>
      <c r="D14" s="7"/>
      <c r="E14" s="11"/>
      <c r="F14" s="7"/>
      <c r="G14" s="12"/>
      <c r="H14" s="12"/>
      <c r="I14" s="12"/>
      <c r="J14" s="13"/>
      <c r="K14" s="13"/>
      <c r="L14" s="11"/>
      <c r="M14" s="12"/>
      <c r="N14" s="11"/>
      <c r="O14" s="11"/>
      <c r="P14" s="11"/>
      <c r="Q14" s="12"/>
      <c r="R14" s="15"/>
      <c r="S14" s="12"/>
      <c r="T14" s="12"/>
      <c r="U14" t="s">
        <v>100</v>
      </c>
    </row>
    <row r="15" spans="2:21">
      <c r="B15" s="7">
        <f ca="1">IF(AND(NOT(ISBLANK(OFFSET($B15,-1,0))),ISNUMBER(OFFSET($B15,-1,0))),MAX($B$5:$B14)+1,1)</f>
        <v>9</v>
      </c>
      <c r="C15" s="7"/>
      <c r="D15" s="7"/>
      <c r="E15" s="11"/>
      <c r="F15" s="7"/>
      <c r="G15" s="12"/>
      <c r="H15" s="12"/>
      <c r="I15" s="12"/>
      <c r="J15" s="13"/>
      <c r="K15" s="13"/>
      <c r="L15" s="11"/>
      <c r="M15" s="12"/>
      <c r="N15" s="11"/>
      <c r="O15" s="11"/>
      <c r="P15" s="11"/>
      <c r="Q15" s="12"/>
      <c r="R15" s="15"/>
      <c r="S15" s="12"/>
      <c r="T15" s="12"/>
      <c r="U15" t="s">
        <v>100</v>
      </c>
    </row>
    <row r="16" spans="2:21">
      <c r="B16" s="7">
        <f ca="1">IF(AND(NOT(ISBLANK(OFFSET($B16,-1,0))),ISNUMBER(OFFSET($B16,-1,0))),MAX($B$5:$B15)+1,1)</f>
        <v>10</v>
      </c>
      <c r="C16" s="7"/>
      <c r="D16" s="7"/>
      <c r="E16" s="11"/>
      <c r="F16" s="7"/>
      <c r="G16" s="12"/>
      <c r="H16" s="12"/>
      <c r="I16" s="12"/>
      <c r="J16" s="13"/>
      <c r="K16" s="13"/>
      <c r="L16" s="11"/>
      <c r="M16" s="12"/>
      <c r="N16" s="11"/>
      <c r="O16" s="11"/>
      <c r="P16" s="11"/>
      <c r="Q16" s="12"/>
      <c r="R16" s="15"/>
      <c r="S16" s="12"/>
      <c r="T16" s="12"/>
      <c r="U16" t="s">
        <v>100</v>
      </c>
    </row>
    <row r="17" spans="2:21">
      <c r="B17" s="7">
        <f ca="1">IF(AND(NOT(ISBLANK(OFFSET($B17,-1,0))),ISNUMBER(OFFSET($B17,-1,0))),MAX($B$5:$B16)+1,1)</f>
        <v>11</v>
      </c>
      <c r="C17" s="7"/>
      <c r="D17" s="7"/>
      <c r="E17" s="11"/>
      <c r="F17" s="7"/>
      <c r="G17" s="12"/>
      <c r="H17" s="12"/>
      <c r="I17" s="12"/>
      <c r="J17" s="13"/>
      <c r="K17" s="13"/>
      <c r="L17" s="11"/>
      <c r="M17" s="12"/>
      <c r="N17" s="11"/>
      <c r="O17" s="11"/>
      <c r="P17" s="11"/>
      <c r="Q17" s="12"/>
      <c r="R17" s="15"/>
      <c r="S17" s="12"/>
      <c r="T17" s="12"/>
      <c r="U17" t="s">
        <v>100</v>
      </c>
    </row>
    <row r="18" spans="2:21">
      <c r="B18" s="7">
        <f ca="1">IF(AND(NOT(ISBLANK(OFFSET($B18,-1,0))),ISNUMBER(OFFSET($B18,-1,0))),MAX($B$5:$B17)+1,1)</f>
        <v>12</v>
      </c>
      <c r="C18" s="7"/>
      <c r="D18" s="7"/>
      <c r="E18" s="11"/>
      <c r="F18" s="7"/>
      <c r="G18" s="12"/>
      <c r="H18" s="12"/>
      <c r="I18" s="12"/>
      <c r="J18" s="13"/>
      <c r="K18" s="13"/>
      <c r="L18" s="11"/>
      <c r="M18" s="12"/>
      <c r="N18" s="11"/>
      <c r="O18" s="11"/>
      <c r="P18" s="11"/>
      <c r="Q18" s="12"/>
      <c r="R18" s="15"/>
      <c r="S18" s="12"/>
      <c r="T18" s="12"/>
      <c r="U18" t="s">
        <v>100</v>
      </c>
    </row>
    <row r="19" spans="2:21">
      <c r="B19" s="7">
        <f ca="1">IF(AND(NOT(ISBLANK(OFFSET($B19,-1,0))),ISNUMBER(OFFSET($B19,-1,0))),MAX($B$5:$B18)+1,1)</f>
        <v>13</v>
      </c>
      <c r="C19" s="7"/>
      <c r="D19" s="7"/>
      <c r="E19" s="11"/>
      <c r="F19" s="7"/>
      <c r="G19" s="12"/>
      <c r="H19" s="12"/>
      <c r="I19" s="12"/>
      <c r="J19" s="13"/>
      <c r="K19" s="13"/>
      <c r="L19" s="11"/>
      <c r="M19" s="12"/>
      <c r="N19" s="11"/>
      <c r="O19" s="11"/>
      <c r="P19" s="11"/>
      <c r="Q19" s="12"/>
      <c r="R19" s="15"/>
      <c r="S19" s="12"/>
      <c r="T19" s="12"/>
      <c r="U19" t="s">
        <v>100</v>
      </c>
    </row>
    <row r="20" spans="2:21">
      <c r="B20" s="7">
        <f ca="1">IF(AND(NOT(ISBLANK(OFFSET($B20,-1,0))),ISNUMBER(OFFSET($B20,-1,0))),MAX($B$5:$B19)+1,1)</f>
        <v>14</v>
      </c>
      <c r="C20" s="7"/>
      <c r="D20" s="7"/>
      <c r="E20" s="11"/>
      <c r="F20" s="7"/>
      <c r="G20" s="12"/>
      <c r="H20" s="12"/>
      <c r="I20" s="12"/>
      <c r="J20" s="13"/>
      <c r="K20" s="13"/>
      <c r="L20" s="11"/>
      <c r="M20" s="12"/>
      <c r="N20" s="11"/>
      <c r="O20" s="11"/>
      <c r="P20" s="11"/>
      <c r="Q20" s="12"/>
      <c r="R20" s="15"/>
      <c r="S20" s="12"/>
      <c r="T20" s="12"/>
      <c r="U20" t="s">
        <v>100</v>
      </c>
    </row>
    <row r="21" spans="2:21">
      <c r="B21" s="7">
        <f ca="1">IF(AND(NOT(ISBLANK(OFFSET($B21,-1,0))),ISNUMBER(OFFSET($B21,-1,0))),MAX($B$5:$B20)+1,1)</f>
        <v>15</v>
      </c>
      <c r="C21" s="7"/>
      <c r="D21" s="7"/>
      <c r="E21" s="11"/>
      <c r="F21" s="7"/>
      <c r="G21" s="12"/>
      <c r="H21" s="12"/>
      <c r="I21" s="12"/>
      <c r="J21" s="13"/>
      <c r="K21" s="13"/>
      <c r="L21" s="11"/>
      <c r="M21" s="12"/>
      <c r="N21" s="11"/>
      <c r="O21" s="11"/>
      <c r="P21" s="11"/>
      <c r="Q21" s="12"/>
      <c r="R21" s="15"/>
      <c r="S21" s="12"/>
      <c r="T21" s="12"/>
      <c r="U21" t="s">
        <v>100</v>
      </c>
    </row>
    <row r="22" spans="2:21">
      <c r="B22" s="7">
        <f ca="1">IF(AND(NOT(ISBLANK(OFFSET($B22,-1,0))),ISNUMBER(OFFSET($B22,-1,0))),MAX($B$5:$B21)+1,1)</f>
        <v>16</v>
      </c>
      <c r="C22" s="7"/>
      <c r="D22" s="7"/>
      <c r="E22" s="11"/>
      <c r="F22" s="7"/>
      <c r="G22" s="12"/>
      <c r="H22" s="12"/>
      <c r="I22" s="12"/>
      <c r="J22" s="13"/>
      <c r="K22" s="13"/>
      <c r="L22" s="11"/>
      <c r="M22" s="12"/>
      <c r="N22" s="11"/>
      <c r="O22" s="11"/>
      <c r="P22" s="11"/>
      <c r="Q22" s="12"/>
      <c r="R22" s="15"/>
      <c r="S22" s="12"/>
      <c r="T22" s="12"/>
      <c r="U22" t="s">
        <v>100</v>
      </c>
    </row>
    <row r="23" spans="2:21">
      <c r="B23" s="7">
        <f ca="1">IF(AND(NOT(ISBLANK(OFFSET($B23,-1,0))),ISNUMBER(OFFSET($B23,-1,0))),MAX($B$5:$B22)+1,1)</f>
        <v>17</v>
      </c>
      <c r="C23" s="7"/>
      <c r="D23" s="7"/>
      <c r="E23" s="11"/>
      <c r="F23" s="7"/>
      <c r="G23" s="12"/>
      <c r="H23" s="12"/>
      <c r="I23" s="12"/>
      <c r="J23" s="13"/>
      <c r="K23" s="13"/>
      <c r="L23" s="11"/>
      <c r="M23" s="12"/>
      <c r="N23" s="11"/>
      <c r="O23" s="11"/>
      <c r="P23" s="11"/>
      <c r="Q23" s="12"/>
      <c r="R23" s="15"/>
      <c r="S23" s="12"/>
      <c r="T23" s="12"/>
      <c r="U23" t="s">
        <v>100</v>
      </c>
    </row>
    <row r="24" spans="2:21">
      <c r="B24" s="7">
        <f ca="1">IF(AND(NOT(ISBLANK(OFFSET($B24,-1,0))),ISNUMBER(OFFSET($B24,-1,0))),MAX($B$5:$B23)+1,1)</f>
        <v>18</v>
      </c>
      <c r="C24" s="7"/>
      <c r="D24" s="7"/>
      <c r="E24" s="11"/>
      <c r="F24" s="7"/>
      <c r="G24" s="12"/>
      <c r="H24" s="12"/>
      <c r="I24" s="12"/>
      <c r="J24" s="13"/>
      <c r="K24" s="13"/>
      <c r="L24" s="11"/>
      <c r="M24" s="12"/>
      <c r="N24" s="11"/>
      <c r="O24" s="11"/>
      <c r="P24" s="11"/>
      <c r="Q24" s="12"/>
      <c r="R24" s="15"/>
      <c r="S24" s="12"/>
      <c r="T24" s="12"/>
      <c r="U24" t="s">
        <v>100</v>
      </c>
    </row>
    <row r="25" spans="2:21">
      <c r="B25" s="7">
        <f ca="1">IF(AND(NOT(ISBLANK(OFFSET($B25,-1,0))),ISNUMBER(OFFSET($B25,-1,0))),MAX($B$5:$B24)+1,1)</f>
        <v>19</v>
      </c>
      <c r="C25" s="7"/>
      <c r="D25" s="7"/>
      <c r="E25" s="11"/>
      <c r="F25" s="7"/>
      <c r="G25" s="12"/>
      <c r="H25" s="12"/>
      <c r="I25" s="12"/>
      <c r="J25" s="13"/>
      <c r="K25" s="13"/>
      <c r="L25" s="11"/>
      <c r="M25" s="12"/>
      <c r="N25" s="11"/>
      <c r="O25" s="11"/>
      <c r="P25" s="11"/>
      <c r="Q25" s="12"/>
      <c r="R25" s="15"/>
      <c r="S25" s="12"/>
      <c r="T25" s="12"/>
      <c r="U25" t="s">
        <v>100</v>
      </c>
    </row>
    <row r="26" spans="2:21">
      <c r="B26" s="7">
        <f ca="1">IF(AND(NOT(ISBLANK(OFFSET($B26,-1,0))),ISNUMBER(OFFSET($B26,-1,0))),MAX($B$5:$B25)+1,1)</f>
        <v>20</v>
      </c>
      <c r="C26" s="7"/>
      <c r="D26" s="7"/>
      <c r="E26" s="11"/>
      <c r="F26" s="7"/>
      <c r="G26" s="12"/>
      <c r="H26" s="12"/>
      <c r="I26" s="12"/>
      <c r="J26" s="13"/>
      <c r="K26" s="13"/>
      <c r="L26" s="11"/>
      <c r="M26" s="12"/>
      <c r="N26" s="11"/>
      <c r="O26" s="11"/>
      <c r="P26" s="11"/>
      <c r="Q26" s="12"/>
      <c r="R26" s="15"/>
      <c r="S26" s="12"/>
      <c r="T26" s="12"/>
      <c r="U26" t="s">
        <v>100</v>
      </c>
    </row>
    <row r="27" spans="2:21">
      <c r="B27" s="7">
        <f ca="1">IF(AND(NOT(ISBLANK(OFFSET($B27,-1,0))),ISNUMBER(OFFSET($B27,-1,0))),MAX($B$5:$B26)+1,1)</f>
        <v>21</v>
      </c>
      <c r="C27" s="7"/>
      <c r="D27" s="7"/>
      <c r="E27" s="11"/>
      <c r="F27" s="7"/>
      <c r="G27" s="12"/>
      <c r="H27" s="12"/>
      <c r="I27" s="12"/>
      <c r="J27" s="13"/>
      <c r="K27" s="13"/>
      <c r="L27" s="11"/>
      <c r="M27" s="12"/>
      <c r="N27" s="11"/>
      <c r="O27" s="11"/>
      <c r="P27" s="11"/>
      <c r="Q27" s="12"/>
      <c r="R27" s="15"/>
      <c r="S27" s="12"/>
      <c r="T27" s="12"/>
      <c r="U27" t="s">
        <v>100</v>
      </c>
    </row>
    <row r="28" spans="2:21">
      <c r="B28" s="7">
        <f ca="1">IF(AND(NOT(ISBLANK(OFFSET($B28,-1,0))),ISNUMBER(OFFSET($B28,-1,0))),MAX($B$5:$B27)+1,1)</f>
        <v>22</v>
      </c>
      <c r="C28" s="7"/>
      <c r="D28" s="7"/>
      <c r="E28" s="11"/>
      <c r="F28" s="7"/>
      <c r="G28" s="12"/>
      <c r="H28" s="12"/>
      <c r="I28" s="12"/>
      <c r="J28" s="13"/>
      <c r="K28" s="13"/>
      <c r="L28" s="11"/>
      <c r="M28" s="12"/>
      <c r="N28" s="11"/>
      <c r="O28" s="11"/>
      <c r="P28" s="11"/>
      <c r="Q28" s="12"/>
      <c r="R28" s="15"/>
      <c r="S28" s="12"/>
      <c r="T28" s="12"/>
      <c r="U28" t="s">
        <v>100</v>
      </c>
    </row>
    <row r="29" spans="2:21">
      <c r="B29" s="7">
        <f ca="1">IF(AND(NOT(ISBLANK(OFFSET($B29,-1,0))),ISNUMBER(OFFSET($B29,-1,0))),MAX($B$5:$B28)+1,1)</f>
        <v>23</v>
      </c>
      <c r="C29" s="7"/>
      <c r="D29" s="7"/>
      <c r="E29" s="11"/>
      <c r="F29" s="7"/>
      <c r="G29" s="12"/>
      <c r="H29" s="12"/>
      <c r="I29" s="12"/>
      <c r="J29" s="13"/>
      <c r="K29" s="13"/>
      <c r="L29" s="11"/>
      <c r="M29" s="12"/>
      <c r="N29" s="11"/>
      <c r="O29" s="11"/>
      <c r="P29" s="11"/>
      <c r="Q29" s="12"/>
      <c r="R29" s="15"/>
      <c r="S29" s="12"/>
      <c r="T29" s="12"/>
      <c r="U29" t="s">
        <v>100</v>
      </c>
    </row>
    <row r="30" spans="2:21">
      <c r="B30" s="7">
        <f ca="1">IF(AND(NOT(ISBLANK(OFFSET($B30,-1,0))),ISNUMBER(OFFSET($B30,-1,0))),MAX($B$5:$B29)+1,1)</f>
        <v>24</v>
      </c>
      <c r="C30" s="7"/>
      <c r="D30" s="7"/>
      <c r="E30" s="11"/>
      <c r="F30" s="7"/>
      <c r="G30" s="12"/>
      <c r="H30" s="12"/>
      <c r="I30" s="12"/>
      <c r="J30" s="13"/>
      <c r="K30" s="13"/>
      <c r="L30" s="11"/>
      <c r="M30" s="12"/>
      <c r="N30" s="11"/>
      <c r="O30" s="11"/>
      <c r="P30" s="11"/>
      <c r="Q30" s="12"/>
      <c r="R30" s="15"/>
      <c r="S30" s="12"/>
      <c r="T30" s="12"/>
      <c r="U30" t="s">
        <v>100</v>
      </c>
    </row>
    <row r="31" spans="2:21">
      <c r="B31" s="7">
        <f ca="1">IF(AND(NOT(ISBLANK(OFFSET($B31,-1,0))),ISNUMBER(OFFSET($B31,-1,0))),MAX($B$5:$B30)+1,1)</f>
        <v>25</v>
      </c>
      <c r="C31" s="7"/>
      <c r="D31" s="7"/>
      <c r="E31" s="11"/>
      <c r="F31" s="7"/>
      <c r="G31" s="12"/>
      <c r="H31" s="12"/>
      <c r="I31" s="12"/>
      <c r="J31" s="13"/>
      <c r="K31" s="13"/>
      <c r="L31" s="11"/>
      <c r="M31" s="12"/>
      <c r="N31" s="11"/>
      <c r="O31" s="11"/>
      <c r="P31" s="11"/>
      <c r="Q31" s="12"/>
      <c r="R31" s="15"/>
      <c r="S31" s="12"/>
      <c r="T31" s="12"/>
      <c r="U31" t="s">
        <v>100</v>
      </c>
    </row>
    <row r="32" spans="2:21">
      <c r="B32" s="7">
        <f ca="1">IF(AND(NOT(ISBLANK(OFFSET($B32,-1,0))),ISNUMBER(OFFSET($B32,-1,0))),MAX($B$5:$B31)+1,1)</f>
        <v>26</v>
      </c>
      <c r="C32" s="7"/>
      <c r="D32" s="7"/>
      <c r="E32" s="11"/>
      <c r="F32" s="7"/>
      <c r="G32" s="12"/>
      <c r="H32" s="12"/>
      <c r="I32" s="12"/>
      <c r="J32" s="13"/>
      <c r="K32" s="13"/>
      <c r="L32" s="11"/>
      <c r="M32" s="12"/>
      <c r="N32" s="11"/>
      <c r="O32" s="11"/>
      <c r="P32" s="11"/>
      <c r="Q32" s="12"/>
      <c r="R32" s="15"/>
      <c r="S32" s="12"/>
      <c r="T32" s="12"/>
      <c r="U32" t="s">
        <v>100</v>
      </c>
    </row>
    <row r="33" spans="2:21">
      <c r="B33" s="7">
        <f ca="1">IF(AND(NOT(ISBLANK(OFFSET($B33,-1,0))),ISNUMBER(OFFSET($B33,-1,0))),MAX($B$5:$B32)+1,1)</f>
        <v>27</v>
      </c>
      <c r="C33" s="7"/>
      <c r="D33" s="13"/>
      <c r="E33" s="11"/>
      <c r="F33" s="7"/>
      <c r="G33" s="12"/>
      <c r="H33" s="12"/>
      <c r="I33" s="12"/>
      <c r="J33" s="13"/>
      <c r="K33" s="13"/>
      <c r="L33" s="11"/>
      <c r="M33" s="12"/>
      <c r="N33" s="11"/>
      <c r="O33" s="11"/>
      <c r="P33" s="11"/>
      <c r="Q33" s="12"/>
      <c r="R33" s="15"/>
      <c r="S33" s="12"/>
      <c r="T33" s="12"/>
      <c r="U33" t="s">
        <v>100</v>
      </c>
    </row>
    <row r="34" spans="2:21">
      <c r="B34" s="7">
        <f ca="1">IF(AND(NOT(ISBLANK(OFFSET($B34,-1,0))),ISNUMBER(OFFSET($B34,-1,0))),MAX($B$5:$B33)+1,1)</f>
        <v>28</v>
      </c>
      <c r="C34" s="7"/>
      <c r="D34" s="13"/>
      <c r="E34" s="11"/>
      <c r="F34" s="7"/>
      <c r="G34" s="12"/>
      <c r="H34" s="12"/>
      <c r="I34" s="12"/>
      <c r="J34" s="13"/>
      <c r="K34" s="13"/>
      <c r="L34" s="11"/>
      <c r="M34" s="12"/>
      <c r="N34" s="11"/>
      <c r="O34" s="11"/>
      <c r="P34" s="11"/>
      <c r="Q34" s="12"/>
      <c r="R34" s="15"/>
      <c r="S34" s="12"/>
      <c r="T34" s="12"/>
      <c r="U34" t="s">
        <v>100</v>
      </c>
    </row>
    <row r="35" spans="2:21">
      <c r="B35" s="7">
        <f ca="1">IF(AND(NOT(ISBLANK(OFFSET($B35,-1,0))),ISNUMBER(OFFSET($B35,-1,0))),MAX($B$5:$B34)+1,1)</f>
        <v>29</v>
      </c>
      <c r="C35" s="7"/>
      <c r="D35" s="13"/>
      <c r="E35" s="11"/>
      <c r="F35" s="7"/>
      <c r="G35" s="12"/>
      <c r="H35" s="12"/>
      <c r="I35" s="12"/>
      <c r="J35" s="13"/>
      <c r="K35" s="13"/>
      <c r="L35" s="11"/>
      <c r="M35" s="12"/>
      <c r="N35" s="11"/>
      <c r="O35" s="11"/>
      <c r="P35" s="11"/>
      <c r="Q35" s="12"/>
      <c r="R35" s="15"/>
      <c r="S35" s="12"/>
      <c r="T35" s="12"/>
      <c r="U35" t="s">
        <v>100</v>
      </c>
    </row>
    <row r="36" spans="2:21">
      <c r="B36" s="7">
        <f ca="1">IF(AND(NOT(ISBLANK(OFFSET($B36,-1,0))),ISNUMBER(OFFSET($B36,-1,0))),MAX($B$5:$B35)+1,1)</f>
        <v>30</v>
      </c>
      <c r="C36" s="7"/>
      <c r="D36" s="7"/>
      <c r="E36" s="11"/>
      <c r="F36" s="7"/>
      <c r="G36" s="12"/>
      <c r="H36" s="12"/>
      <c r="I36" s="12"/>
      <c r="J36" s="13"/>
      <c r="K36" s="13"/>
      <c r="L36" s="11"/>
      <c r="M36" s="12"/>
      <c r="N36" s="11"/>
      <c r="O36" s="11"/>
      <c r="P36" s="11"/>
      <c r="Q36" s="12"/>
      <c r="R36" s="15"/>
      <c r="S36" s="12"/>
      <c r="T36" s="12"/>
      <c r="U36" t="s">
        <v>100</v>
      </c>
    </row>
    <row r="37" spans="2:21">
      <c r="B37" s="7">
        <f ca="1">IF(AND(NOT(ISBLANK(OFFSET($B37,-1,0))),ISNUMBER(OFFSET($B37,-1,0))),MAX($B$5:$B36)+1,1)</f>
        <v>31</v>
      </c>
      <c r="C37" s="7"/>
      <c r="D37" s="7"/>
      <c r="E37" s="11"/>
      <c r="F37" s="7"/>
      <c r="G37" s="12"/>
      <c r="H37" s="12"/>
      <c r="I37" s="12"/>
      <c r="J37" s="13"/>
      <c r="K37" s="13"/>
      <c r="L37" s="11"/>
      <c r="M37" s="12"/>
      <c r="N37" s="11"/>
      <c r="O37" s="11"/>
      <c r="P37" s="11"/>
      <c r="Q37" s="12"/>
      <c r="R37" s="15"/>
      <c r="S37" s="12"/>
      <c r="T37" s="12"/>
      <c r="U37" t="s">
        <v>100</v>
      </c>
    </row>
    <row r="38" spans="2:21">
      <c r="B38" s="7">
        <f ca="1">IF(AND(NOT(ISBLANK(OFFSET($B38,-1,0))),ISNUMBER(OFFSET($B38,-1,0))),MAX($B$5:$B37)+1,1)</f>
        <v>32</v>
      </c>
      <c r="C38" s="7"/>
      <c r="D38" s="13"/>
      <c r="E38" s="11"/>
      <c r="F38" s="7"/>
      <c r="G38" s="12"/>
      <c r="H38" s="12"/>
      <c r="I38" s="12"/>
      <c r="J38" s="13"/>
      <c r="K38" s="13"/>
      <c r="L38" s="11"/>
      <c r="M38" s="12"/>
      <c r="N38" s="11"/>
      <c r="O38" s="11"/>
      <c r="P38" s="11"/>
      <c r="Q38" s="12"/>
      <c r="R38" s="15"/>
      <c r="S38" s="12"/>
      <c r="T38" s="12"/>
      <c r="U38" t="s">
        <v>100</v>
      </c>
    </row>
    <row r="39" spans="2:21">
      <c r="B39" s="7">
        <f ca="1">IF(AND(NOT(ISBLANK(OFFSET($B39,-1,0))),ISNUMBER(OFFSET($B39,-1,0))),MAX($B$5:$B38)+1,1)</f>
        <v>33</v>
      </c>
      <c r="C39" s="7"/>
      <c r="D39" s="13"/>
      <c r="E39" s="11"/>
      <c r="F39" s="7"/>
      <c r="G39" s="12"/>
      <c r="H39" s="12"/>
      <c r="I39" s="12"/>
      <c r="J39" s="13"/>
      <c r="K39" s="13"/>
      <c r="L39" s="11"/>
      <c r="M39" s="12"/>
      <c r="N39" s="11"/>
      <c r="O39" s="11"/>
      <c r="P39" s="11"/>
      <c r="Q39" s="12"/>
      <c r="R39" s="15"/>
      <c r="S39" s="12"/>
      <c r="T39" s="12"/>
      <c r="U39" t="s">
        <v>100</v>
      </c>
    </row>
    <row r="40" spans="2:21">
      <c r="B40" s="7">
        <f ca="1">IF(AND(NOT(ISBLANK(OFFSET($B40,-1,0))),ISNUMBER(OFFSET($B40,-1,0))),MAX($B$5:$B39)+1,1)</f>
        <v>34</v>
      </c>
      <c r="C40" s="7"/>
      <c r="D40" s="13"/>
      <c r="E40" s="11"/>
      <c r="F40" s="7"/>
      <c r="G40" s="12"/>
      <c r="H40" s="12"/>
      <c r="I40" s="12"/>
      <c r="J40" s="13"/>
      <c r="K40" s="13"/>
      <c r="L40" s="11"/>
      <c r="M40" s="12"/>
      <c r="N40" s="11"/>
      <c r="O40" s="11"/>
      <c r="P40" s="11"/>
      <c r="Q40" s="12"/>
      <c r="R40" s="15"/>
      <c r="S40" s="12"/>
      <c r="T40" s="12"/>
      <c r="U40" t="s">
        <v>100</v>
      </c>
    </row>
    <row r="41" spans="2:21">
      <c r="B41" s="7">
        <f ca="1">IF(AND(NOT(ISBLANK(OFFSET($B41,-1,0))),ISNUMBER(OFFSET($B41,-1,0))),MAX($B$5:$B40)+1,1)</f>
        <v>35</v>
      </c>
      <c r="C41" s="7"/>
      <c r="D41" s="7"/>
      <c r="E41" s="11"/>
      <c r="F41" s="7"/>
      <c r="G41" s="12"/>
      <c r="H41" s="12"/>
      <c r="I41" s="12"/>
      <c r="J41" s="13"/>
      <c r="K41" s="13"/>
      <c r="L41" s="11"/>
      <c r="M41" s="12"/>
      <c r="N41" s="11"/>
      <c r="O41" s="11"/>
      <c r="P41" s="11"/>
      <c r="Q41" s="12"/>
      <c r="R41" s="15"/>
      <c r="S41" s="12"/>
      <c r="T41" s="12"/>
      <c r="U41" t="s">
        <v>100</v>
      </c>
    </row>
    <row r="42" spans="2:21">
      <c r="B42" s="7">
        <f ca="1">IF(AND(NOT(ISBLANK(OFFSET($B42,-1,0))),ISNUMBER(OFFSET($B42,-1,0))),MAX($B$5:$B41)+1,1)</f>
        <v>36</v>
      </c>
      <c r="C42" s="7"/>
      <c r="D42" s="7"/>
      <c r="E42" s="11"/>
      <c r="F42" s="7"/>
      <c r="G42" s="12"/>
      <c r="H42" s="12"/>
      <c r="I42" s="12"/>
      <c r="J42" s="13"/>
      <c r="K42" s="13"/>
      <c r="L42" s="11"/>
      <c r="M42" s="12"/>
      <c r="N42" s="11"/>
      <c r="O42" s="11"/>
      <c r="P42" s="11"/>
      <c r="Q42" s="12"/>
      <c r="R42" s="15"/>
      <c r="S42" s="12"/>
      <c r="T42" s="12"/>
      <c r="U42" t="s">
        <v>100</v>
      </c>
    </row>
    <row r="43" spans="2:21">
      <c r="B43" s="7">
        <f ca="1">IF(AND(NOT(ISBLANK(OFFSET($B43,-1,0))),ISNUMBER(OFFSET($B43,-1,0))),MAX($B$5:$B42)+1,1)</f>
        <v>37</v>
      </c>
      <c r="C43" s="7"/>
      <c r="D43" s="13"/>
      <c r="E43" s="11"/>
      <c r="F43" s="7"/>
      <c r="G43" s="12"/>
      <c r="H43" s="12"/>
      <c r="I43" s="12"/>
      <c r="J43" s="13"/>
      <c r="K43" s="13"/>
      <c r="L43" s="11"/>
      <c r="M43" s="12"/>
      <c r="N43" s="11"/>
      <c r="O43" s="11"/>
      <c r="P43" s="11"/>
      <c r="Q43" s="12"/>
      <c r="R43" s="15"/>
      <c r="S43" s="12"/>
      <c r="T43" s="12"/>
      <c r="U43" t="s">
        <v>100</v>
      </c>
    </row>
    <row r="44" spans="2:21">
      <c r="B44" s="7">
        <f ca="1">IF(AND(NOT(ISBLANK(OFFSET($B44,-1,0))),ISNUMBER(OFFSET($B44,-1,0))),MAX($B$5:$B43)+1,1)</f>
        <v>38</v>
      </c>
      <c r="C44" s="7"/>
      <c r="D44" s="13"/>
      <c r="E44" s="11"/>
      <c r="F44" s="7"/>
      <c r="G44" s="12"/>
      <c r="H44" s="12"/>
      <c r="I44" s="12"/>
      <c r="J44" s="13"/>
      <c r="K44" s="13"/>
      <c r="L44" s="11"/>
      <c r="M44" s="12"/>
      <c r="N44" s="11"/>
      <c r="O44" s="11"/>
      <c r="P44" s="11"/>
      <c r="Q44" s="12"/>
      <c r="R44" s="15"/>
      <c r="S44" s="12"/>
      <c r="T44" s="12"/>
      <c r="U44" t="s">
        <v>100</v>
      </c>
    </row>
    <row r="45" spans="2:21">
      <c r="B45" s="7">
        <f ca="1">IF(AND(NOT(ISBLANK(OFFSET($B45,-1,0))),ISNUMBER(OFFSET($B45,-1,0))),MAX($B$5:$B44)+1,1)</f>
        <v>39</v>
      </c>
      <c r="C45" s="7"/>
      <c r="D45" s="13"/>
      <c r="E45" s="11"/>
      <c r="F45" s="7"/>
      <c r="G45" s="12"/>
      <c r="H45" s="12"/>
      <c r="I45" s="12"/>
      <c r="J45" s="13"/>
      <c r="K45" s="13"/>
      <c r="L45" s="11"/>
      <c r="M45" s="12"/>
      <c r="N45" s="11"/>
      <c r="O45" s="11"/>
      <c r="P45" s="11"/>
      <c r="Q45" s="12"/>
      <c r="R45" s="15"/>
      <c r="S45" s="12"/>
      <c r="T45" s="12"/>
      <c r="U45" t="s">
        <v>100</v>
      </c>
    </row>
    <row r="46" spans="2:21">
      <c r="B46" s="7">
        <f ca="1">IF(AND(NOT(ISBLANK(OFFSET($B46,-1,0))),ISNUMBER(OFFSET($B46,-1,0))),MAX($B$5:$B45)+1,1)</f>
        <v>40</v>
      </c>
      <c r="C46" s="7"/>
      <c r="D46" s="13"/>
      <c r="E46" s="11"/>
      <c r="F46" s="7"/>
      <c r="G46" s="12"/>
      <c r="H46" s="12"/>
      <c r="I46" s="12"/>
      <c r="J46" s="13"/>
      <c r="K46" s="13"/>
      <c r="L46" s="11"/>
      <c r="M46" s="12"/>
      <c r="N46" s="11"/>
      <c r="O46" s="11"/>
      <c r="P46" s="11"/>
      <c r="Q46" s="12"/>
      <c r="R46" s="15"/>
      <c r="S46" s="12"/>
      <c r="T46" s="12"/>
      <c r="U46" t="s">
        <v>100</v>
      </c>
    </row>
    <row r="47" spans="2:21">
      <c r="B47" s="7">
        <f ca="1">IF(AND(NOT(ISBLANK(OFFSET($B47,-1,0))),ISNUMBER(OFFSET($B47,-1,0))),MAX($B$5:$B46)+1,1)</f>
        <v>41</v>
      </c>
      <c r="C47" s="7"/>
      <c r="D47" s="13"/>
      <c r="E47" s="11"/>
      <c r="F47" s="7"/>
      <c r="G47" s="12"/>
      <c r="H47" s="12"/>
      <c r="I47" s="12"/>
      <c r="J47" s="13"/>
      <c r="K47" s="13"/>
      <c r="L47" s="11"/>
      <c r="M47" s="12"/>
      <c r="N47" s="11"/>
      <c r="O47" s="11"/>
      <c r="P47" s="11"/>
      <c r="Q47" s="12"/>
      <c r="R47" s="15"/>
      <c r="S47" s="12"/>
      <c r="T47" s="12"/>
      <c r="U47" t="s">
        <v>100</v>
      </c>
    </row>
    <row r="48" spans="2:21">
      <c r="B48" s="7">
        <f ca="1">IF(AND(NOT(ISBLANK(OFFSET($B48,-1,0))),ISNUMBER(OFFSET($B48,-1,0))),MAX($B$5:$B47)+1,1)</f>
        <v>42</v>
      </c>
      <c r="C48" s="7"/>
      <c r="D48" s="7"/>
      <c r="E48" s="11"/>
      <c r="F48" s="7"/>
      <c r="G48" s="12"/>
      <c r="H48" s="12"/>
      <c r="I48" s="12"/>
      <c r="J48" s="13"/>
      <c r="K48" s="13"/>
      <c r="L48" s="11"/>
      <c r="M48" s="12"/>
      <c r="N48" s="11"/>
      <c r="O48" s="11"/>
      <c r="P48" s="11"/>
      <c r="Q48" s="12"/>
      <c r="R48" s="15"/>
      <c r="S48" s="12"/>
      <c r="T48" s="12"/>
      <c r="U48" t="s">
        <v>100</v>
      </c>
    </row>
    <row r="49" spans="2:21">
      <c r="B49" s="7">
        <f ca="1">IF(AND(NOT(ISBLANK(OFFSET($B49,-1,0))),ISNUMBER(OFFSET($B49,-1,0))),MAX($B$5:$B48)+1,1)</f>
        <v>43</v>
      </c>
      <c r="C49" s="7"/>
      <c r="D49" s="7"/>
      <c r="E49" s="11"/>
      <c r="F49" s="7"/>
      <c r="G49" s="12"/>
      <c r="H49" s="12"/>
      <c r="I49" s="12"/>
      <c r="J49" s="13"/>
      <c r="K49" s="13"/>
      <c r="L49" s="11"/>
      <c r="M49" s="12"/>
      <c r="N49" s="11"/>
      <c r="O49" s="11"/>
      <c r="P49" s="11"/>
      <c r="Q49" s="12"/>
      <c r="R49" s="15"/>
      <c r="S49" s="12"/>
      <c r="T49" s="12"/>
      <c r="U49" t="s">
        <v>100</v>
      </c>
    </row>
    <row r="50" spans="2:21">
      <c r="B50" s="7">
        <f ca="1">IF(AND(NOT(ISBLANK(OFFSET($B50,-1,0))),ISNUMBER(OFFSET($B50,-1,0))),MAX($B$5:$B49)+1,1)</f>
        <v>44</v>
      </c>
      <c r="C50" s="7"/>
      <c r="D50" s="7"/>
      <c r="E50" s="11"/>
      <c r="F50" s="7"/>
      <c r="G50" s="12"/>
      <c r="H50" s="12"/>
      <c r="I50" s="12"/>
      <c r="J50" s="13"/>
      <c r="K50" s="13"/>
      <c r="L50" s="11"/>
      <c r="M50" s="12"/>
      <c r="N50" s="11"/>
      <c r="O50" s="11"/>
      <c r="P50" s="11"/>
      <c r="Q50" s="12"/>
      <c r="R50" s="15"/>
      <c r="S50" s="12"/>
      <c r="T50" s="12"/>
      <c r="U50" t="s">
        <v>100</v>
      </c>
    </row>
    <row r="51" spans="2:21">
      <c r="B51" s="7">
        <f ca="1">IF(AND(NOT(ISBLANK(OFFSET($B51,-1,0))),ISNUMBER(OFFSET($B51,-1,0))),MAX($B$5:$B50)+1,1)</f>
        <v>45</v>
      </c>
      <c r="C51" s="7"/>
      <c r="D51" s="7"/>
      <c r="E51" s="11"/>
      <c r="F51" s="7"/>
      <c r="G51" s="12"/>
      <c r="H51" s="12"/>
      <c r="I51" s="12"/>
      <c r="J51" s="13"/>
      <c r="K51" s="13"/>
      <c r="L51" s="11"/>
      <c r="M51" s="12"/>
      <c r="N51" s="11"/>
      <c r="O51" s="11"/>
      <c r="P51" s="11"/>
      <c r="Q51" s="12"/>
      <c r="R51" s="15"/>
      <c r="S51" s="12"/>
      <c r="T51" s="12"/>
      <c r="U51" t="s">
        <v>100</v>
      </c>
    </row>
    <row r="52" spans="2:21">
      <c r="B52" s="7">
        <f ca="1">IF(AND(NOT(ISBLANK(OFFSET($B52,-1,0))),ISNUMBER(OFFSET($B52,-1,0))),MAX($B$5:$B51)+1,1)</f>
        <v>46</v>
      </c>
      <c r="C52" s="7"/>
      <c r="D52" s="7"/>
      <c r="E52" s="11"/>
      <c r="F52" s="7"/>
      <c r="G52" s="12"/>
      <c r="H52" s="12"/>
      <c r="I52" s="12"/>
      <c r="J52" s="13"/>
      <c r="K52" s="13"/>
      <c r="L52" s="11"/>
      <c r="M52" s="12"/>
      <c r="N52" s="11"/>
      <c r="O52" s="11"/>
      <c r="P52" s="11"/>
      <c r="Q52" s="12"/>
      <c r="R52" s="15"/>
      <c r="S52" s="12"/>
      <c r="T52" s="12"/>
      <c r="U52" t="s">
        <v>100</v>
      </c>
    </row>
    <row r="53" spans="2:21">
      <c r="B53" s="7">
        <f ca="1">IF(AND(NOT(ISBLANK(OFFSET($B53,-1,0))),ISNUMBER(OFFSET($B53,-1,0))),MAX($B$5:$B52)+1,1)</f>
        <v>47</v>
      </c>
      <c r="C53" s="7"/>
      <c r="D53" s="7"/>
      <c r="E53" s="11"/>
      <c r="F53" s="7"/>
      <c r="G53" s="12"/>
      <c r="H53" s="12"/>
      <c r="I53" s="12"/>
      <c r="J53" s="13"/>
      <c r="K53" s="13"/>
      <c r="L53" s="11"/>
      <c r="M53" s="12"/>
      <c r="N53" s="11"/>
      <c r="O53" s="11"/>
      <c r="P53" s="11"/>
      <c r="Q53" s="12"/>
      <c r="R53" s="15"/>
      <c r="S53" s="12"/>
      <c r="T53" s="12"/>
      <c r="U53" t="s">
        <v>100</v>
      </c>
    </row>
    <row r="54" spans="2:21">
      <c r="B54" s="7">
        <f ca="1">IF(AND(NOT(ISBLANK(OFFSET($B54,-1,0))),ISNUMBER(OFFSET($B54,-1,0))),MAX($B$5:$B53)+1,1)</f>
        <v>48</v>
      </c>
      <c r="C54" s="7"/>
      <c r="D54" s="7"/>
      <c r="E54" s="11"/>
      <c r="F54" s="7"/>
      <c r="G54" s="12"/>
      <c r="H54" s="12"/>
      <c r="I54" s="12"/>
      <c r="J54" s="13"/>
      <c r="K54" s="13"/>
      <c r="L54" s="11"/>
      <c r="M54" s="12"/>
      <c r="N54" s="11"/>
      <c r="O54" s="11"/>
      <c r="P54" s="11"/>
      <c r="Q54" s="12"/>
      <c r="R54" s="15"/>
      <c r="S54" s="12"/>
      <c r="T54" s="12"/>
      <c r="U54" t="s">
        <v>100</v>
      </c>
    </row>
    <row r="55" spans="2:21">
      <c r="B55" s="7">
        <f ca="1">IF(AND(NOT(ISBLANK(OFFSET($B55,-1,0))),ISNUMBER(OFFSET($B55,-1,0))),MAX($B$5:$B54)+1,1)</f>
        <v>49</v>
      </c>
      <c r="C55" s="7"/>
      <c r="D55" s="7"/>
      <c r="E55" s="11"/>
      <c r="F55" s="7"/>
      <c r="G55" s="12"/>
      <c r="H55" s="12"/>
      <c r="I55" s="12"/>
      <c r="J55" s="13"/>
      <c r="K55" s="13"/>
      <c r="L55" s="11"/>
      <c r="M55" s="12"/>
      <c r="N55" s="11"/>
      <c r="O55" s="11"/>
      <c r="P55" s="11"/>
      <c r="Q55" s="12"/>
      <c r="R55" s="15"/>
      <c r="S55" s="12"/>
      <c r="T55" s="12"/>
      <c r="U55" t="s">
        <v>100</v>
      </c>
    </row>
    <row r="56" spans="2:21">
      <c r="B56" s="7">
        <f ca="1">IF(AND(NOT(ISBLANK(OFFSET($B56,-1,0))),ISNUMBER(OFFSET($B56,-1,0))),MAX($B$5:$B55)+1,1)</f>
        <v>50</v>
      </c>
      <c r="C56" s="7"/>
      <c r="D56" s="7"/>
      <c r="E56" s="11"/>
      <c r="F56" s="7"/>
      <c r="G56" s="12"/>
      <c r="H56" s="12"/>
      <c r="I56" s="12"/>
      <c r="J56" s="13"/>
      <c r="K56" s="13"/>
      <c r="L56" s="11"/>
      <c r="M56" s="12"/>
      <c r="N56" s="11"/>
      <c r="O56" s="11"/>
      <c r="P56" s="11"/>
      <c r="Q56" s="12"/>
      <c r="R56" s="15"/>
      <c r="S56" s="12"/>
      <c r="T56" s="12"/>
      <c r="U56" t="s">
        <v>100</v>
      </c>
    </row>
    <row r="57" spans="2:21">
      <c r="B57" s="7">
        <f ca="1">IF(AND(NOT(ISBLANK(OFFSET($B57,-1,0))),ISNUMBER(OFFSET($B57,-1,0))),MAX($B$5:$B56)+1,1)</f>
        <v>51</v>
      </c>
      <c r="C57" s="7"/>
      <c r="D57" s="7"/>
      <c r="E57" s="11"/>
      <c r="F57" s="7"/>
      <c r="G57" s="12"/>
      <c r="H57" s="12"/>
      <c r="I57" s="12"/>
      <c r="J57" s="13"/>
      <c r="K57" s="13"/>
      <c r="L57" s="11"/>
      <c r="M57" s="12"/>
      <c r="N57" s="11"/>
      <c r="O57" s="11"/>
      <c r="P57" s="11"/>
      <c r="Q57" s="12"/>
      <c r="R57" s="15"/>
      <c r="S57" s="12"/>
      <c r="T57" s="12"/>
      <c r="U57" t="s">
        <v>100</v>
      </c>
    </row>
    <row r="58" spans="2:21">
      <c r="B58" s="7">
        <f ca="1">IF(AND(NOT(ISBLANK(OFFSET($B58,-1,0))),ISNUMBER(OFFSET($B58,-1,0))),MAX($B$5:$B57)+1,1)</f>
        <v>52</v>
      </c>
      <c r="C58" s="7"/>
      <c r="D58" s="7"/>
      <c r="E58" s="11"/>
      <c r="F58" s="7"/>
      <c r="G58" s="12"/>
      <c r="H58" s="12"/>
      <c r="I58" s="12"/>
      <c r="J58" s="13"/>
      <c r="K58" s="13"/>
      <c r="L58" s="11"/>
      <c r="M58" s="12"/>
      <c r="N58" s="11"/>
      <c r="O58" s="11"/>
      <c r="P58" s="11"/>
      <c r="Q58" s="12"/>
      <c r="R58" s="15"/>
      <c r="S58" s="12"/>
      <c r="T58" s="12"/>
      <c r="U58" t="s">
        <v>100</v>
      </c>
    </row>
    <row r="59" spans="2:21">
      <c r="B59" s="7">
        <f ca="1">IF(AND(NOT(ISBLANK(OFFSET($B59,-1,0))),ISNUMBER(OFFSET($B59,-1,0))),MAX($B$5:$B58)+1,1)</f>
        <v>53</v>
      </c>
      <c r="C59" s="7"/>
      <c r="D59" s="7"/>
      <c r="E59" s="11"/>
      <c r="F59" s="7"/>
      <c r="G59" s="12"/>
      <c r="H59" s="12"/>
      <c r="I59" s="12"/>
      <c r="J59" s="13"/>
      <c r="K59" s="13"/>
      <c r="L59" s="11"/>
      <c r="M59" s="12"/>
      <c r="N59" s="11"/>
      <c r="O59" s="11"/>
      <c r="P59" s="11"/>
      <c r="Q59" s="12"/>
      <c r="R59" s="15"/>
      <c r="S59" s="12"/>
      <c r="T59" s="12"/>
      <c r="U59" t="s">
        <v>100</v>
      </c>
    </row>
    <row r="60" spans="2:21">
      <c r="B60" s="7">
        <f ca="1">IF(AND(NOT(ISBLANK(OFFSET($B60,-1,0))),ISNUMBER(OFFSET($B60,-1,0))),MAX($B$5:$B59)+1,1)</f>
        <v>54</v>
      </c>
      <c r="C60" s="7"/>
      <c r="D60" s="7"/>
      <c r="E60" s="11"/>
      <c r="F60" s="7"/>
      <c r="G60" s="12"/>
      <c r="H60" s="12"/>
      <c r="I60" s="12"/>
      <c r="J60" s="13"/>
      <c r="K60" s="13"/>
      <c r="L60" s="11"/>
      <c r="M60" s="12"/>
      <c r="N60" s="11"/>
      <c r="O60" s="11"/>
      <c r="P60" s="11"/>
      <c r="Q60" s="12"/>
      <c r="R60" s="15"/>
      <c r="S60" s="12"/>
      <c r="T60" s="12"/>
      <c r="U60" t="s">
        <v>100</v>
      </c>
    </row>
    <row r="61" spans="2:21">
      <c r="B61" s="7">
        <f ca="1">IF(AND(NOT(ISBLANK(OFFSET($B61,-1,0))),ISNUMBER(OFFSET($B61,-1,0))),MAX($B$5:$B60)+1,1)</f>
        <v>55</v>
      </c>
      <c r="C61" s="7"/>
      <c r="D61" s="7"/>
      <c r="E61" s="11"/>
      <c r="F61" s="7"/>
      <c r="G61" s="12"/>
      <c r="H61" s="12"/>
      <c r="I61" s="12"/>
      <c r="J61" s="13"/>
      <c r="K61" s="13"/>
      <c r="L61" s="11"/>
      <c r="M61" s="12"/>
      <c r="N61" s="11"/>
      <c r="O61" s="11"/>
      <c r="P61" s="11"/>
      <c r="Q61" s="12"/>
      <c r="R61" s="15"/>
      <c r="S61" s="12"/>
      <c r="T61" s="12"/>
      <c r="U61" t="s">
        <v>100</v>
      </c>
    </row>
    <row r="62" spans="2:21">
      <c r="B62" s="7">
        <f ca="1">IF(AND(NOT(ISBLANK(OFFSET($B62,-1,0))),ISNUMBER(OFFSET($B62,-1,0))),MAX($B$5:$B61)+1,1)</f>
        <v>56</v>
      </c>
      <c r="C62" s="7"/>
      <c r="D62" s="7"/>
      <c r="E62" s="11"/>
      <c r="F62" s="7"/>
      <c r="G62" s="12"/>
      <c r="H62" s="12"/>
      <c r="I62" s="12"/>
      <c r="J62" s="13"/>
      <c r="K62" s="13"/>
      <c r="L62" s="11"/>
      <c r="M62" s="12"/>
      <c r="N62" s="11"/>
      <c r="O62" s="11"/>
      <c r="P62" s="11"/>
      <c r="Q62" s="12"/>
      <c r="R62" s="15"/>
      <c r="S62" s="12"/>
      <c r="T62" s="12"/>
      <c r="U62" t="s">
        <v>100</v>
      </c>
    </row>
    <row r="63" spans="2:21">
      <c r="B63" s="7">
        <f ca="1">IF(AND(NOT(ISBLANK(OFFSET($B63,-1,0))),ISNUMBER(OFFSET($B63,-1,0))),MAX($B$5:$B62)+1,1)</f>
        <v>57</v>
      </c>
      <c r="C63" s="7"/>
      <c r="D63" s="7"/>
      <c r="E63" s="11"/>
      <c r="F63" s="7"/>
      <c r="G63" s="12"/>
      <c r="H63" s="12"/>
      <c r="I63" s="12"/>
      <c r="J63" s="13"/>
      <c r="K63" s="13"/>
      <c r="L63" s="11"/>
      <c r="M63" s="12"/>
      <c r="N63" s="11"/>
      <c r="O63" s="11"/>
      <c r="P63" s="11"/>
      <c r="Q63" s="12"/>
      <c r="R63" s="15"/>
      <c r="S63" s="12"/>
      <c r="T63" s="12"/>
      <c r="U63" t="s">
        <v>100</v>
      </c>
    </row>
    <row r="64" spans="2:21">
      <c r="B64" s="7">
        <f ca="1">IF(AND(NOT(ISBLANK(OFFSET($B64,-1,0))),ISNUMBER(OFFSET($B64,-1,0))),MAX($B$5:$B63)+1,1)</f>
        <v>58</v>
      </c>
      <c r="C64" s="7"/>
      <c r="D64" s="7"/>
      <c r="E64" s="11"/>
      <c r="F64" s="7"/>
      <c r="G64" s="12"/>
      <c r="H64" s="12"/>
      <c r="I64" s="12"/>
      <c r="J64" s="13"/>
      <c r="K64" s="13"/>
      <c r="L64" s="11"/>
      <c r="M64" s="12"/>
      <c r="N64" s="11"/>
      <c r="O64" s="11"/>
      <c r="P64" s="11"/>
      <c r="Q64" s="12"/>
      <c r="R64" s="15"/>
      <c r="S64" s="12"/>
      <c r="T64" s="12"/>
      <c r="U64" t="s">
        <v>100</v>
      </c>
    </row>
    <row r="65" spans="2:21">
      <c r="B65" s="7">
        <f ca="1">IF(AND(NOT(ISBLANK(OFFSET($B65,-1,0))),ISNUMBER(OFFSET($B65,-1,0))),MAX($B$5:$B64)+1,1)</f>
        <v>59</v>
      </c>
      <c r="C65" s="7"/>
      <c r="D65" s="7"/>
      <c r="E65" s="11"/>
      <c r="F65" s="7"/>
      <c r="G65" s="12"/>
      <c r="H65" s="12"/>
      <c r="I65" s="12"/>
      <c r="J65" s="13"/>
      <c r="K65" s="13"/>
      <c r="L65" s="11"/>
      <c r="M65" s="12"/>
      <c r="N65" s="11"/>
      <c r="O65" s="11"/>
      <c r="P65" s="11"/>
      <c r="Q65" s="12"/>
      <c r="R65" s="15"/>
      <c r="S65" s="12"/>
      <c r="T65" s="12"/>
      <c r="U65" t="s">
        <v>100</v>
      </c>
    </row>
    <row r="66" spans="2:21">
      <c r="B66" s="7">
        <f ca="1">IF(AND(NOT(ISBLANK(OFFSET($B66,-1,0))),ISNUMBER(OFFSET($B66,-1,0))),MAX($B$5:$B65)+1,1)</f>
        <v>60</v>
      </c>
      <c r="C66" s="7"/>
      <c r="D66" s="7"/>
      <c r="E66" s="11"/>
      <c r="F66" s="7"/>
      <c r="G66" s="12"/>
      <c r="H66" s="12"/>
      <c r="I66" s="12"/>
      <c r="J66" s="13"/>
      <c r="K66" s="13"/>
      <c r="L66" s="11"/>
      <c r="M66" s="12"/>
      <c r="N66" s="11"/>
      <c r="O66" s="11"/>
      <c r="P66" s="11"/>
      <c r="Q66" s="12"/>
      <c r="R66" s="15"/>
      <c r="S66" s="12"/>
      <c r="T66" s="12"/>
      <c r="U66" t="s">
        <v>100</v>
      </c>
    </row>
    <row r="67" spans="2:21">
      <c r="B67" s="7">
        <f ca="1">IF(AND(NOT(ISBLANK(OFFSET($B67,-1,0))),ISNUMBER(OFFSET($B67,-1,0))),MAX($B$5:$B66)+1,1)</f>
        <v>61</v>
      </c>
      <c r="C67" s="7"/>
      <c r="D67" s="7"/>
      <c r="E67" s="11"/>
      <c r="F67" s="7"/>
      <c r="G67" s="12"/>
      <c r="H67" s="12"/>
      <c r="I67" s="12"/>
      <c r="J67" s="13"/>
      <c r="K67" s="13"/>
      <c r="L67" s="11"/>
      <c r="M67" s="12"/>
      <c r="N67" s="11"/>
      <c r="O67" s="11"/>
      <c r="P67" s="11"/>
      <c r="Q67" s="12"/>
      <c r="R67" s="15"/>
      <c r="S67" s="12"/>
      <c r="T67" s="12"/>
      <c r="U67" t="s">
        <v>100</v>
      </c>
    </row>
    <row r="68" spans="2:21">
      <c r="B68" s="7">
        <f ca="1">IF(AND(NOT(ISBLANK(OFFSET($B68,-1,0))),ISNUMBER(OFFSET($B68,-1,0))),MAX($B$5:$B67)+1,1)</f>
        <v>62</v>
      </c>
      <c r="C68" s="7"/>
      <c r="D68" s="7"/>
      <c r="E68" s="11"/>
      <c r="F68" s="7"/>
      <c r="G68" s="12"/>
      <c r="H68" s="12"/>
      <c r="I68" s="12"/>
      <c r="J68" s="13"/>
      <c r="K68" s="13"/>
      <c r="L68" s="11"/>
      <c r="M68" s="12"/>
      <c r="N68" s="11"/>
      <c r="O68" s="11"/>
      <c r="P68" s="11"/>
      <c r="Q68" s="12"/>
      <c r="R68" s="15"/>
      <c r="S68" s="12"/>
      <c r="T68" s="12"/>
      <c r="U68" t="s">
        <v>100</v>
      </c>
    </row>
    <row r="69" spans="2:21">
      <c r="B69" s="7">
        <f ca="1">IF(AND(NOT(ISBLANK(OFFSET($B69,-1,0))),ISNUMBER(OFFSET($B69,-1,0))),MAX($B$5:$B68)+1,1)</f>
        <v>63</v>
      </c>
      <c r="C69" s="7"/>
      <c r="D69" s="7"/>
      <c r="E69" s="11"/>
      <c r="F69" s="7"/>
      <c r="G69" s="12"/>
      <c r="H69" s="12"/>
      <c r="I69" s="12"/>
      <c r="J69" s="13"/>
      <c r="K69" s="13"/>
      <c r="L69" s="11"/>
      <c r="M69" s="12"/>
      <c r="N69" s="11"/>
      <c r="O69" s="11"/>
      <c r="P69" s="11"/>
      <c r="Q69" s="12"/>
      <c r="R69" s="15"/>
      <c r="S69" s="12"/>
      <c r="T69" s="12"/>
      <c r="U69" t="s">
        <v>100</v>
      </c>
    </row>
    <row r="70" spans="2:21">
      <c r="B70" s="7">
        <f ca="1">IF(AND(NOT(ISBLANK(OFFSET($B70,-1,0))),ISNUMBER(OFFSET($B70,-1,0))),MAX($B$5:$B69)+1,1)</f>
        <v>64</v>
      </c>
      <c r="C70" s="7"/>
      <c r="D70" s="7"/>
      <c r="E70" s="11"/>
      <c r="F70" s="7"/>
      <c r="G70" s="12"/>
      <c r="H70" s="12"/>
      <c r="I70" s="12"/>
      <c r="J70" s="13"/>
      <c r="K70" s="13"/>
      <c r="L70" s="11"/>
      <c r="M70" s="12"/>
      <c r="N70" s="11"/>
      <c r="O70" s="11"/>
      <c r="P70" s="11"/>
      <c r="Q70" s="12"/>
      <c r="R70" s="15"/>
      <c r="S70" s="12"/>
      <c r="T70" s="12"/>
      <c r="U70" t="s">
        <v>100</v>
      </c>
    </row>
    <row r="71" spans="2:21">
      <c r="B71" s="7">
        <f ca="1">IF(AND(NOT(ISBLANK(OFFSET($B71,-1,0))),ISNUMBER(OFFSET($B71,-1,0))),MAX($B$5:$B70)+1,1)</f>
        <v>65</v>
      </c>
      <c r="C71" s="7"/>
      <c r="D71" s="7"/>
      <c r="E71" s="11"/>
      <c r="F71" s="7"/>
      <c r="G71" s="12"/>
      <c r="H71" s="12"/>
      <c r="I71" s="12"/>
      <c r="J71" s="13"/>
      <c r="K71" s="13"/>
      <c r="L71" s="11"/>
      <c r="M71" s="12"/>
      <c r="N71" s="11"/>
      <c r="O71" s="11"/>
      <c r="P71" s="11"/>
      <c r="Q71" s="12"/>
      <c r="R71" s="15"/>
      <c r="S71" s="12"/>
      <c r="T71" s="12"/>
      <c r="U71" t="s">
        <v>100</v>
      </c>
    </row>
    <row r="72" spans="2:21">
      <c r="B72" s="7">
        <f ca="1">IF(AND(NOT(ISBLANK(OFFSET($B72,-1,0))),ISNUMBER(OFFSET($B72,-1,0))),MAX($B$5:$B71)+1,1)</f>
        <v>66</v>
      </c>
      <c r="C72" s="7"/>
      <c r="D72" s="7"/>
      <c r="E72" s="11"/>
      <c r="F72" s="7"/>
      <c r="G72" s="12"/>
      <c r="H72" s="12"/>
      <c r="I72" s="12"/>
      <c r="J72" s="13"/>
      <c r="K72" s="13"/>
      <c r="L72" s="11"/>
      <c r="M72" s="12"/>
      <c r="N72" s="11"/>
      <c r="O72" s="11"/>
      <c r="P72" s="11"/>
      <c r="Q72" s="12"/>
      <c r="R72" s="15"/>
      <c r="S72" s="12"/>
      <c r="T72" s="12"/>
      <c r="U72" t="s">
        <v>100</v>
      </c>
    </row>
    <row r="73" spans="2:21">
      <c r="B73" s="7">
        <f ca="1">IF(AND(NOT(ISBLANK(OFFSET($B73,-1,0))),ISNUMBER(OFFSET($B73,-1,0))),MAX($B$5:$B72)+1,1)</f>
        <v>67</v>
      </c>
      <c r="C73" s="7"/>
      <c r="D73" s="7"/>
      <c r="E73" s="11"/>
      <c r="F73" s="7"/>
      <c r="G73" s="12"/>
      <c r="H73" s="12"/>
      <c r="I73" s="12"/>
      <c r="J73" s="13"/>
      <c r="K73" s="13"/>
      <c r="L73" s="11"/>
      <c r="M73" s="12"/>
      <c r="N73" s="11"/>
      <c r="O73" s="11"/>
      <c r="P73" s="11"/>
      <c r="Q73" s="12"/>
      <c r="R73" s="15"/>
      <c r="S73" s="12"/>
      <c r="T73" s="12"/>
      <c r="U73" t="s">
        <v>100</v>
      </c>
    </row>
    <row r="74" spans="2:21">
      <c r="B74" t="s">
        <v>93</v>
      </c>
      <c r="C74" t="s">
        <v>93</v>
      </c>
      <c r="D74" t="s">
        <v>93</v>
      </c>
      <c r="E74" t="s">
        <v>93</v>
      </c>
      <c r="F74" t="s">
        <v>93</v>
      </c>
      <c r="G74" t="s">
        <v>93</v>
      </c>
      <c r="H74" t="s">
        <v>93</v>
      </c>
      <c r="I74" t="s">
        <v>93</v>
      </c>
      <c r="J74" t="s">
        <v>93</v>
      </c>
      <c r="K74" t="s">
        <v>93</v>
      </c>
      <c r="L74" t="s">
        <v>93</v>
      </c>
      <c r="M74" t="s">
        <v>93</v>
      </c>
      <c r="N74" t="s">
        <v>93</v>
      </c>
      <c r="O74" t="s">
        <v>93</v>
      </c>
      <c r="P74" t="s">
        <v>93</v>
      </c>
      <c r="Q74" t="s">
        <v>93</v>
      </c>
      <c r="R74" t="s">
        <v>93</v>
      </c>
      <c r="S74" t="s">
        <v>93</v>
      </c>
      <c r="T74" t="s">
        <v>93</v>
      </c>
      <c r="U74" t="s">
        <v>100</v>
      </c>
    </row>
  </sheetData>
  <sheetProtection selectLockedCells="1"/>
  <autoFilter ref="B5:T74"/>
  <phoneticPr fontId="1"/>
  <conditionalFormatting sqref="B6:T6">
    <cfRule type="expression" dxfId="339" priority="1">
      <formula>OR($T$6="ユーザ連携(資料作成中)",$T$6="ユーザ連携待ち(ﾚﾋﾞｭｰ時確認)",$T$6="ユーザ連携待ち",$T$6="ユーザ回答待ち")</formula>
    </cfRule>
    <cfRule type="expression" dxfId="338" priority="2">
      <formula>OR($T$6="対応内容確定",$T$6="対応中")</formula>
    </cfRule>
    <cfRule type="expression" dxfId="337" priority="3">
      <formula>OR($T$6="対応完了",$T$6="対応不要")</formula>
    </cfRule>
    <cfRule type="expression" dxfId="336" priority="4">
      <formula>OR($T$6="検討中",$T$6="保留中")</formula>
    </cfRule>
    <cfRule type="expression" dxfId="335" priority="5">
      <formula>$T$6="完了（仕様確認）"</formula>
    </cfRule>
  </conditionalFormatting>
  <conditionalFormatting sqref="B7:T7">
    <cfRule type="expression" dxfId="334" priority="6" stopIfTrue="1">
      <formula>OR($T$7="ユーザ連携(資料作成中)",$T$7="ユーザ連携待ち(ﾚﾋﾞｭｰ時確認)",$T$7="ユーザ連携待ち",$T$7="ユーザ回答待ち")</formula>
    </cfRule>
    <cfRule type="expression" dxfId="333" priority="7" stopIfTrue="1">
      <formula>OR($T$7="対応内容確定",$T$7="対応中")</formula>
    </cfRule>
    <cfRule type="expression" dxfId="332" priority="8" stopIfTrue="1">
      <formula>OR($T$7="対応完了",$T$7="対応不要")</formula>
    </cfRule>
    <cfRule type="expression" dxfId="331" priority="9" stopIfTrue="1">
      <formula>OR($T$7="検討中",$T$7="保留中")</formula>
    </cfRule>
    <cfRule type="expression" dxfId="330" priority="10" stopIfTrue="1">
      <formula>$T$7="完了（仕様確認）"</formula>
    </cfRule>
  </conditionalFormatting>
  <conditionalFormatting sqref="B8:T8">
    <cfRule type="expression" dxfId="329" priority="11" stopIfTrue="1">
      <formula>OR($T$8="ユーザ連携(資料作成中)",$T$8="ユーザ連携待ち(ﾚﾋﾞｭｰ時確認)",$T$8="ユーザ連携待ち",$T$8="ユーザ回答待ち")</formula>
    </cfRule>
    <cfRule type="expression" dxfId="328" priority="12" stopIfTrue="1">
      <formula>OR($T$8="対応内容確定",$T$8="対応中")</formula>
    </cfRule>
    <cfRule type="expression" dxfId="327" priority="13" stopIfTrue="1">
      <formula>OR($T$8="対応完了",$T$8="対応不要")</formula>
    </cfRule>
    <cfRule type="expression" dxfId="326" priority="14" stopIfTrue="1">
      <formula>OR($T$8="検討中",$T$8="保留中")</formula>
    </cfRule>
    <cfRule type="expression" dxfId="325" priority="15" stopIfTrue="1">
      <formula>$T$8="完了（仕様確認）"</formula>
    </cfRule>
  </conditionalFormatting>
  <conditionalFormatting sqref="B9:T9">
    <cfRule type="expression" dxfId="324" priority="16" stopIfTrue="1">
      <formula>OR($T$9="ユーザ連携(資料作成中)",$T$9="ユーザ連携待ち(ﾚﾋﾞｭｰ時確認)",$T$9="ユーザ連携待ち",$T$9="ユーザ回答待ち")</formula>
    </cfRule>
    <cfRule type="expression" dxfId="323" priority="17" stopIfTrue="1">
      <formula>OR($T$9="対応内容確定",$T$9="対応中")</formula>
    </cfRule>
    <cfRule type="expression" dxfId="322" priority="18" stopIfTrue="1">
      <formula>OR($T$9="対応完了",$T$9="対応不要")</formula>
    </cfRule>
    <cfRule type="expression" dxfId="321" priority="19" stopIfTrue="1">
      <formula>OR($T$9="検討中",$T$9="保留中")</formula>
    </cfRule>
    <cfRule type="expression" dxfId="320" priority="20" stopIfTrue="1">
      <formula>$T$9="完了（仕様確認）"</formula>
    </cfRule>
  </conditionalFormatting>
  <conditionalFormatting sqref="B10:T10">
    <cfRule type="expression" dxfId="319" priority="21" stopIfTrue="1">
      <formula>OR($T$10="ユーザ連携(資料作成中)",$T$10="ユーザ連携待ち(ﾚﾋﾞｭｰ時確認)",$T$10="ユーザ連携待ち",$T$10="ユーザ回答待ち")</formula>
    </cfRule>
    <cfRule type="expression" dxfId="318" priority="22" stopIfTrue="1">
      <formula>OR($T$10="対応内容確定",$T$10="対応中")</formula>
    </cfRule>
    <cfRule type="expression" dxfId="317" priority="23" stopIfTrue="1">
      <formula>OR($T$10="対応完了",$T$10="対応不要")</formula>
    </cfRule>
    <cfRule type="expression" dxfId="316" priority="24" stopIfTrue="1">
      <formula>OR($T$10="検討中",$T$10="保留中")</formula>
    </cfRule>
    <cfRule type="expression" dxfId="315" priority="25" stopIfTrue="1">
      <formula>$T$10="完了（仕様確認）"</formula>
    </cfRule>
  </conditionalFormatting>
  <conditionalFormatting sqref="B11:T11">
    <cfRule type="expression" dxfId="314" priority="26" stopIfTrue="1">
      <formula>OR($T$11="ユーザ連携(資料作成中)",$T$11="ユーザ連携待ち(ﾚﾋﾞｭｰ時確認)",$T$11="ユーザ連携待ち",$T$11="ユーザ回答待ち")</formula>
    </cfRule>
    <cfRule type="expression" dxfId="313" priority="27" stopIfTrue="1">
      <formula>OR($T$11="対応内容確定",$T$11="対応中")</formula>
    </cfRule>
    <cfRule type="expression" dxfId="312" priority="28" stopIfTrue="1">
      <formula>OR($T$11="対応完了",$T$11="対応不要")</formula>
    </cfRule>
    <cfRule type="expression" dxfId="311" priority="29" stopIfTrue="1">
      <formula>OR($T$11="検討中",$T$11="保留中")</formula>
    </cfRule>
    <cfRule type="expression" dxfId="310" priority="30" stopIfTrue="1">
      <formula>$T$11="完了（仕様確認）"</formula>
    </cfRule>
  </conditionalFormatting>
  <conditionalFormatting sqref="B12:T12">
    <cfRule type="expression" dxfId="309" priority="31" stopIfTrue="1">
      <formula>OR($T$12="ユーザ連携(資料作成中)",$T$12="ユーザ連携待ち(ﾚﾋﾞｭｰ時確認)",$T$12="ユーザ連携待ち",$T$12="ユーザ回答待ち")</formula>
    </cfRule>
    <cfRule type="expression" dxfId="308" priority="32" stopIfTrue="1">
      <formula>OR($T$12="対応内容確定",$T$12="対応中")</formula>
    </cfRule>
    <cfRule type="expression" dxfId="307" priority="33" stopIfTrue="1">
      <formula>OR($T$12="対応完了",$T$12="対応不要")</formula>
    </cfRule>
    <cfRule type="expression" dxfId="306" priority="34" stopIfTrue="1">
      <formula>OR($T$12="検討中",$T$12="保留中")</formula>
    </cfRule>
    <cfRule type="expression" dxfId="305" priority="35" stopIfTrue="1">
      <formula>$T$12="完了（仕様確認）"</formula>
    </cfRule>
  </conditionalFormatting>
  <conditionalFormatting sqref="B13:T13">
    <cfRule type="expression" dxfId="304" priority="36" stopIfTrue="1">
      <formula>OR($T$13="ユーザ連携(資料作成中)",$T$13="ユーザ連携待ち(ﾚﾋﾞｭｰ時確認)",$T$13="ユーザ連携待ち",$T$13="ユーザ回答待ち")</formula>
    </cfRule>
    <cfRule type="expression" dxfId="303" priority="37" stopIfTrue="1">
      <formula>OR($T$13="対応内容確定",$T$13="対応中")</formula>
    </cfRule>
    <cfRule type="expression" dxfId="302" priority="38" stopIfTrue="1">
      <formula>OR($T$13="対応完了",$T$13="対応不要")</formula>
    </cfRule>
    <cfRule type="expression" dxfId="301" priority="39" stopIfTrue="1">
      <formula>OR($T$13="検討中",$T$13="保留中")</formula>
    </cfRule>
    <cfRule type="expression" dxfId="300" priority="40" stopIfTrue="1">
      <formula>$T$13="完了（仕様確認）"</formula>
    </cfRule>
  </conditionalFormatting>
  <conditionalFormatting sqref="B14:T14">
    <cfRule type="expression" dxfId="299" priority="41" stopIfTrue="1">
      <formula>OR($T$14="ユーザ連携(資料作成中)",$T$14="ユーザ連携待ち(ﾚﾋﾞｭｰ時確認)",$T$14="ユーザ連携待ち",$T$14="ユーザ回答待ち")</formula>
    </cfRule>
    <cfRule type="expression" dxfId="298" priority="42" stopIfTrue="1">
      <formula>OR($T$14="対応内容確定",$T$14="対応中")</formula>
    </cfRule>
    <cfRule type="expression" dxfId="297" priority="43" stopIfTrue="1">
      <formula>OR($T$14="対応完了",$T$14="対応不要")</formula>
    </cfRule>
    <cfRule type="expression" dxfId="296" priority="44" stopIfTrue="1">
      <formula>OR($T$14="検討中",$T$14="保留中")</formula>
    </cfRule>
    <cfRule type="expression" dxfId="295" priority="45" stopIfTrue="1">
      <formula>$T$14="完了（仕様確認）"</formula>
    </cfRule>
  </conditionalFormatting>
  <conditionalFormatting sqref="B15:T15">
    <cfRule type="expression" dxfId="294" priority="46" stopIfTrue="1">
      <formula>OR($T$15="ユーザ連携(資料作成中)",$T$15="ユーザ連携待ち(ﾚﾋﾞｭｰ時確認)",$T$15="ユーザ連携待ち",$T$15="ユーザ回答待ち")</formula>
    </cfRule>
    <cfRule type="expression" dxfId="293" priority="47" stopIfTrue="1">
      <formula>OR($T$15="対応内容確定",$T$15="対応中")</formula>
    </cfRule>
    <cfRule type="expression" dxfId="292" priority="48" stopIfTrue="1">
      <formula>OR($T$15="対応完了",$T$15="対応不要")</formula>
    </cfRule>
    <cfRule type="expression" dxfId="291" priority="49" stopIfTrue="1">
      <formula>OR($T$15="検討中",$T$15="保留中")</formula>
    </cfRule>
    <cfRule type="expression" dxfId="290" priority="50" stopIfTrue="1">
      <formula>$T$15="完了（仕様確認）"</formula>
    </cfRule>
  </conditionalFormatting>
  <conditionalFormatting sqref="B16:T16">
    <cfRule type="expression" dxfId="289" priority="51" stopIfTrue="1">
      <formula>OR($T$16="ユーザ連携(資料作成中)",$T$16="ユーザ連携待ち(ﾚﾋﾞｭｰ時確認)",$T$16="ユーザ連携待ち",$T$16="ユーザ回答待ち")</formula>
    </cfRule>
    <cfRule type="expression" dxfId="288" priority="52" stopIfTrue="1">
      <formula>OR($T$16="対応内容確定",$T$16="対応中")</formula>
    </cfRule>
    <cfRule type="expression" dxfId="287" priority="53" stopIfTrue="1">
      <formula>OR($T$16="対応完了",$T$16="対応不要")</formula>
    </cfRule>
    <cfRule type="expression" dxfId="286" priority="54" stopIfTrue="1">
      <formula>OR($T$16="検討中",$T$16="保留中")</formula>
    </cfRule>
    <cfRule type="expression" dxfId="285" priority="55" stopIfTrue="1">
      <formula>$T$16="完了（仕様確認）"</formula>
    </cfRule>
  </conditionalFormatting>
  <conditionalFormatting sqref="B17:T17">
    <cfRule type="expression" dxfId="284" priority="56" stopIfTrue="1">
      <formula>OR($T$17="ユーザ連携(資料作成中)",$T$17="ユーザ連携待ち(ﾚﾋﾞｭｰ時確認)",$T$17="ユーザ連携待ち",$T$17="ユーザ回答待ち")</formula>
    </cfRule>
    <cfRule type="expression" dxfId="283" priority="57" stopIfTrue="1">
      <formula>OR($T$17="対応内容確定",$T$17="対応中")</formula>
    </cfRule>
    <cfRule type="expression" dxfId="282" priority="58" stopIfTrue="1">
      <formula>OR($T$17="対応完了",$T$17="対応不要")</formula>
    </cfRule>
    <cfRule type="expression" dxfId="281" priority="59" stopIfTrue="1">
      <formula>OR($T$17="検討中",$T$17="保留中")</formula>
    </cfRule>
    <cfRule type="expression" dxfId="280" priority="60" stopIfTrue="1">
      <formula>$T$17="完了（仕様確認）"</formula>
    </cfRule>
  </conditionalFormatting>
  <conditionalFormatting sqref="B18:T18">
    <cfRule type="expression" dxfId="279" priority="61" stopIfTrue="1">
      <formula>OR($T$18="ユーザ連携(資料作成中)",$T$18="ユーザ連携待ち(ﾚﾋﾞｭｰ時確認)",$T$18="ユーザ連携待ち",$T$18="ユーザ回答待ち")</formula>
    </cfRule>
    <cfRule type="expression" dxfId="278" priority="62" stopIfTrue="1">
      <formula>OR($T$18="対応内容確定",$T$18="対応中")</formula>
    </cfRule>
    <cfRule type="expression" dxfId="277" priority="63" stopIfTrue="1">
      <formula>OR($T$18="対応完了",$T$18="対応不要")</formula>
    </cfRule>
    <cfRule type="expression" dxfId="276" priority="64" stopIfTrue="1">
      <formula>OR($T$18="検討中",$T$18="保留中")</formula>
    </cfRule>
    <cfRule type="expression" dxfId="275" priority="65" stopIfTrue="1">
      <formula>$T$18="完了（仕様確認）"</formula>
    </cfRule>
  </conditionalFormatting>
  <conditionalFormatting sqref="B19:T19">
    <cfRule type="expression" dxfId="274" priority="66" stopIfTrue="1">
      <formula>OR($T$19="ユーザ連携(資料作成中)",$T$19="ユーザ連携待ち(ﾚﾋﾞｭｰ時確認)",$T$19="ユーザ連携待ち",$T$19="ユーザ回答待ち")</formula>
    </cfRule>
    <cfRule type="expression" dxfId="273" priority="67" stopIfTrue="1">
      <formula>OR($T$19="対応内容確定",$T$19="対応中")</formula>
    </cfRule>
    <cfRule type="expression" dxfId="272" priority="68" stopIfTrue="1">
      <formula>OR($T$19="対応完了",$T$19="対応不要")</formula>
    </cfRule>
    <cfRule type="expression" dxfId="271" priority="69" stopIfTrue="1">
      <formula>OR($T$19="検討中",$T$19="保留中")</formula>
    </cfRule>
    <cfRule type="expression" dxfId="270" priority="70" stopIfTrue="1">
      <formula>$T$19="完了（仕様確認）"</formula>
    </cfRule>
  </conditionalFormatting>
  <conditionalFormatting sqref="B20:T20">
    <cfRule type="expression" dxfId="269" priority="71" stopIfTrue="1">
      <formula>OR($T$20="ユーザ連携(資料作成中)",$T$20="ユーザ連携待ち(ﾚﾋﾞｭｰ時確認)",$T$20="ユーザ連携待ち",$T$20="ユーザ回答待ち")</formula>
    </cfRule>
    <cfRule type="expression" dxfId="268" priority="72" stopIfTrue="1">
      <formula>OR($T$20="対応内容確定",$T$20="対応中")</formula>
    </cfRule>
    <cfRule type="expression" dxfId="267" priority="73" stopIfTrue="1">
      <formula>OR($T$20="対応完了",$T$20="対応不要")</formula>
    </cfRule>
    <cfRule type="expression" dxfId="266" priority="74" stopIfTrue="1">
      <formula>OR($T$20="検討中",$T$20="保留中")</formula>
    </cfRule>
    <cfRule type="expression" dxfId="265" priority="75" stopIfTrue="1">
      <formula>$T$20="完了（仕様確認）"</formula>
    </cfRule>
  </conditionalFormatting>
  <conditionalFormatting sqref="B21:T21">
    <cfRule type="expression" dxfId="264" priority="76" stopIfTrue="1">
      <formula>OR($T$21="ユーザ連携(資料作成中)",$T$21="ユーザ連携待ち(ﾚﾋﾞｭｰ時確認)",$T$21="ユーザ連携待ち",$T$21="ユーザ回答待ち")</formula>
    </cfRule>
    <cfRule type="expression" dxfId="263" priority="77" stopIfTrue="1">
      <formula>OR($T$21="対応内容確定",$T$21="対応中")</formula>
    </cfRule>
    <cfRule type="expression" dxfId="262" priority="78" stopIfTrue="1">
      <formula>OR($T$21="対応完了",$T$21="対応不要")</formula>
    </cfRule>
    <cfRule type="expression" dxfId="261" priority="79" stopIfTrue="1">
      <formula>OR($T$21="検討中",$T$21="保留中")</formula>
    </cfRule>
    <cfRule type="expression" dxfId="260" priority="80" stopIfTrue="1">
      <formula>$T$21="完了（仕様確認）"</formula>
    </cfRule>
  </conditionalFormatting>
  <conditionalFormatting sqref="B22:T22">
    <cfRule type="expression" dxfId="259" priority="81" stopIfTrue="1">
      <formula>OR($T$22="ユーザ連携(資料作成中)",$T$22="ユーザ連携待ち(ﾚﾋﾞｭｰ時確認)",$T$22="ユーザ連携待ち",$T$22="ユーザ回答待ち")</formula>
    </cfRule>
    <cfRule type="expression" dxfId="258" priority="82" stopIfTrue="1">
      <formula>OR($T$22="対応内容確定",$T$22="対応中")</formula>
    </cfRule>
    <cfRule type="expression" dxfId="257" priority="83" stopIfTrue="1">
      <formula>OR($T$22="対応完了",$T$22="対応不要")</formula>
    </cfRule>
    <cfRule type="expression" dxfId="256" priority="84" stopIfTrue="1">
      <formula>OR($T$22="検討中",$T$22="保留中")</formula>
    </cfRule>
    <cfRule type="expression" dxfId="255" priority="85" stopIfTrue="1">
      <formula>$T$22="完了（仕様確認）"</formula>
    </cfRule>
  </conditionalFormatting>
  <conditionalFormatting sqref="B23:T23">
    <cfRule type="expression" dxfId="254" priority="86" stopIfTrue="1">
      <formula>OR($T$23="ユーザ連携(資料作成中)",$T$23="ユーザ連携待ち(ﾚﾋﾞｭｰ時確認)",$T$23="ユーザ連携待ち",$T$23="ユーザ回答待ち")</formula>
    </cfRule>
    <cfRule type="expression" dxfId="253" priority="87" stopIfTrue="1">
      <formula>OR($T$23="対応内容確定",$T$23="対応中")</formula>
    </cfRule>
    <cfRule type="expression" dxfId="252" priority="88" stopIfTrue="1">
      <formula>OR($T$23="対応完了",$T$23="対応不要")</formula>
    </cfRule>
    <cfRule type="expression" dxfId="251" priority="89" stopIfTrue="1">
      <formula>OR($T$23="検討中",$T$23="保留中")</formula>
    </cfRule>
    <cfRule type="expression" dxfId="250" priority="90" stopIfTrue="1">
      <formula>$T$23="完了（仕様確認）"</formula>
    </cfRule>
  </conditionalFormatting>
  <conditionalFormatting sqref="B24:T24">
    <cfRule type="expression" dxfId="249" priority="91" stopIfTrue="1">
      <formula>OR($T$24="ユーザ連携(資料作成中)",$T$24="ユーザ連携待ち(ﾚﾋﾞｭｰ時確認)",$T$24="ユーザ連携待ち",$T$24="ユーザ回答待ち")</formula>
    </cfRule>
    <cfRule type="expression" dxfId="248" priority="92" stopIfTrue="1">
      <formula>OR($T$24="対応内容確定",$T$24="対応中")</formula>
    </cfRule>
    <cfRule type="expression" dxfId="247" priority="93" stopIfTrue="1">
      <formula>OR($T$24="対応完了",$T$24="対応不要")</formula>
    </cfRule>
    <cfRule type="expression" dxfId="246" priority="94" stopIfTrue="1">
      <formula>OR($T$24="検討中",$T$24="保留中")</formula>
    </cfRule>
    <cfRule type="expression" dxfId="245" priority="95" stopIfTrue="1">
      <formula>$T$24="完了（仕様確認）"</formula>
    </cfRule>
  </conditionalFormatting>
  <conditionalFormatting sqref="B25:T25">
    <cfRule type="expression" dxfId="244" priority="96" stopIfTrue="1">
      <formula>OR($T$25="ユーザ連携(資料作成中)",$T$25="ユーザ連携待ち(ﾚﾋﾞｭｰ時確認)",$T$25="ユーザ連携待ち",$T$25="ユーザ回答待ち")</formula>
    </cfRule>
    <cfRule type="expression" dxfId="243" priority="97" stopIfTrue="1">
      <formula>OR($T$25="対応内容確定",$T$25="対応中")</formula>
    </cfRule>
    <cfRule type="expression" dxfId="242" priority="98" stopIfTrue="1">
      <formula>OR($T$25="対応完了",$T$25="対応不要")</formula>
    </cfRule>
    <cfRule type="expression" dxfId="241" priority="99" stopIfTrue="1">
      <formula>OR($T$25="検討中",$T$25="保留中")</formula>
    </cfRule>
    <cfRule type="expression" dxfId="240" priority="100" stopIfTrue="1">
      <formula>$T$25="完了（仕様確認）"</formula>
    </cfRule>
  </conditionalFormatting>
  <conditionalFormatting sqref="B26:T26">
    <cfRule type="expression" dxfId="239" priority="101" stopIfTrue="1">
      <formula>OR($T$26="ユーザ連携(資料作成中)",$T$26="ユーザ連携待ち(ﾚﾋﾞｭｰ時確認)",$T$26="ユーザ連携待ち",$T$26="ユーザ回答待ち")</formula>
    </cfRule>
    <cfRule type="expression" dxfId="238" priority="102" stopIfTrue="1">
      <formula>OR($T$26="対応内容確定",$T$26="対応中")</formula>
    </cfRule>
    <cfRule type="expression" dxfId="237" priority="103" stopIfTrue="1">
      <formula>OR($T$26="対応完了",$T$26="対応不要")</formula>
    </cfRule>
    <cfRule type="expression" dxfId="236" priority="104" stopIfTrue="1">
      <formula>OR($T$26="検討中",$T$26="保留中")</formula>
    </cfRule>
    <cfRule type="expression" dxfId="235" priority="105" stopIfTrue="1">
      <formula>$T$26="完了（仕様確認）"</formula>
    </cfRule>
  </conditionalFormatting>
  <conditionalFormatting sqref="B27:T27">
    <cfRule type="expression" dxfId="234" priority="106" stopIfTrue="1">
      <formula>OR($T$27="ユーザ連携(資料作成中)",$T$27="ユーザ連携待ち(ﾚﾋﾞｭｰ時確認)",$T$27="ユーザ連携待ち",$T$27="ユーザ回答待ち")</formula>
    </cfRule>
    <cfRule type="expression" dxfId="233" priority="107" stopIfTrue="1">
      <formula>OR($T$27="対応内容確定",$T$27="対応中")</formula>
    </cfRule>
    <cfRule type="expression" dxfId="232" priority="108" stopIfTrue="1">
      <formula>OR($T$27="対応完了",$T$27="対応不要")</formula>
    </cfRule>
    <cfRule type="expression" dxfId="231" priority="109" stopIfTrue="1">
      <formula>OR($T$27="検討中",$T$27="保留中")</formula>
    </cfRule>
    <cfRule type="expression" dxfId="230" priority="110" stopIfTrue="1">
      <formula>$T$27="完了（仕様確認）"</formula>
    </cfRule>
  </conditionalFormatting>
  <conditionalFormatting sqref="B28:T28">
    <cfRule type="expression" dxfId="229" priority="111" stopIfTrue="1">
      <formula>OR($T$28="ユーザ連携(資料作成中)",$T$28="ユーザ連携待ち(ﾚﾋﾞｭｰ時確認)",$T$28="ユーザ連携待ち",$T$28="ユーザ回答待ち")</formula>
    </cfRule>
    <cfRule type="expression" dxfId="228" priority="112" stopIfTrue="1">
      <formula>OR($T$28="対応内容確定",$T$28="対応中")</formula>
    </cfRule>
    <cfRule type="expression" dxfId="227" priority="113" stopIfTrue="1">
      <formula>OR($T$28="対応完了",$T$28="対応不要")</formula>
    </cfRule>
    <cfRule type="expression" dxfId="226" priority="114" stopIfTrue="1">
      <formula>OR($T$28="検討中",$T$28="保留中")</formula>
    </cfRule>
    <cfRule type="expression" dxfId="225" priority="115" stopIfTrue="1">
      <formula>$T$28="完了（仕様確認）"</formula>
    </cfRule>
  </conditionalFormatting>
  <conditionalFormatting sqref="B29:T29">
    <cfRule type="expression" dxfId="224" priority="116" stopIfTrue="1">
      <formula>OR($T$29="ユーザ連携(資料作成中)",$T$29="ユーザ連携待ち(ﾚﾋﾞｭｰ時確認)",$T$29="ユーザ連携待ち",$T$29="ユーザ回答待ち")</formula>
    </cfRule>
    <cfRule type="expression" dxfId="223" priority="117" stopIfTrue="1">
      <formula>OR($T$29="対応内容確定",$T$29="対応中")</formula>
    </cfRule>
    <cfRule type="expression" dxfId="222" priority="118" stopIfTrue="1">
      <formula>OR($T$29="対応完了",$T$29="対応不要")</formula>
    </cfRule>
    <cfRule type="expression" dxfId="221" priority="119" stopIfTrue="1">
      <formula>OR($T$29="検討中",$T$29="保留中")</formula>
    </cfRule>
    <cfRule type="expression" dxfId="220" priority="120" stopIfTrue="1">
      <formula>$T$29="完了（仕様確認）"</formula>
    </cfRule>
  </conditionalFormatting>
  <conditionalFormatting sqref="B30:T30">
    <cfRule type="expression" dxfId="219" priority="121" stopIfTrue="1">
      <formula>OR($T$30="ユーザ連携(資料作成中)",$T$30="ユーザ連携待ち(ﾚﾋﾞｭｰ時確認)",$T$30="ユーザ連携待ち",$T$30="ユーザ回答待ち")</formula>
    </cfRule>
    <cfRule type="expression" dxfId="218" priority="122" stopIfTrue="1">
      <formula>OR($T$30="対応内容確定",$T$30="対応中")</formula>
    </cfRule>
    <cfRule type="expression" dxfId="217" priority="123" stopIfTrue="1">
      <formula>OR($T$30="対応完了",$T$30="対応不要")</formula>
    </cfRule>
    <cfRule type="expression" dxfId="216" priority="124" stopIfTrue="1">
      <formula>OR($T$30="検討中",$T$30="保留中")</formula>
    </cfRule>
    <cfRule type="expression" dxfId="215" priority="125" stopIfTrue="1">
      <formula>$T$30="完了（仕様確認）"</formula>
    </cfRule>
  </conditionalFormatting>
  <conditionalFormatting sqref="B31:T31">
    <cfRule type="expression" dxfId="214" priority="126" stopIfTrue="1">
      <formula>OR($T$31="ユーザ連携(資料作成中)",$T$31="ユーザ連携待ち(ﾚﾋﾞｭｰ時確認)",$T$31="ユーザ連携待ち",$T$31="ユーザ回答待ち")</formula>
    </cfRule>
    <cfRule type="expression" dxfId="213" priority="127" stopIfTrue="1">
      <formula>OR($T$31="対応内容確定",$T$31="対応中")</formula>
    </cfRule>
    <cfRule type="expression" dxfId="212" priority="128" stopIfTrue="1">
      <formula>OR($T$31="対応完了",$T$31="対応不要")</formula>
    </cfRule>
    <cfRule type="expression" dxfId="211" priority="129" stopIfTrue="1">
      <formula>OR($T$31="検討中",$T$31="保留中")</formula>
    </cfRule>
    <cfRule type="expression" dxfId="210" priority="130" stopIfTrue="1">
      <formula>$T$31="完了（仕様確認）"</formula>
    </cfRule>
  </conditionalFormatting>
  <conditionalFormatting sqref="B32:T32">
    <cfRule type="expression" dxfId="209" priority="131" stopIfTrue="1">
      <formula>OR($T$32="ユーザ連携(資料作成中)",$T$32="ユーザ連携待ち(ﾚﾋﾞｭｰ時確認)",$T$32="ユーザ連携待ち",$T$32="ユーザ回答待ち")</formula>
    </cfRule>
    <cfRule type="expression" dxfId="208" priority="132" stopIfTrue="1">
      <formula>OR($T$32="対応内容確定",$T$32="対応中")</formula>
    </cfRule>
    <cfRule type="expression" dxfId="207" priority="133" stopIfTrue="1">
      <formula>OR($T$32="対応完了",$T$32="対応不要")</formula>
    </cfRule>
    <cfRule type="expression" dxfId="206" priority="134" stopIfTrue="1">
      <formula>OR($T$32="検討中",$T$32="保留中")</formula>
    </cfRule>
    <cfRule type="expression" dxfId="205" priority="135" stopIfTrue="1">
      <formula>$T$32="完了（仕様確認）"</formula>
    </cfRule>
  </conditionalFormatting>
  <conditionalFormatting sqref="B33:T33">
    <cfRule type="expression" dxfId="204" priority="136" stopIfTrue="1">
      <formula>OR($T$33="ユーザ連携(資料作成中)",$T$33="ユーザ連携待ち(ﾚﾋﾞｭｰ時確認)",$T$33="ユーザ連携待ち",$T$33="ユーザ回答待ち")</formula>
    </cfRule>
    <cfRule type="expression" dxfId="203" priority="137" stopIfTrue="1">
      <formula>OR($T$33="対応内容確定",$T$33="対応中")</formula>
    </cfRule>
    <cfRule type="expression" dxfId="202" priority="138" stopIfTrue="1">
      <formula>OR($T$33="対応完了",$T$33="対応不要")</formula>
    </cfRule>
    <cfRule type="expression" dxfId="201" priority="139" stopIfTrue="1">
      <formula>OR($T$33="検討中",$T$33="保留中")</formula>
    </cfRule>
    <cfRule type="expression" dxfId="200" priority="140" stopIfTrue="1">
      <formula>$T$33="完了（仕様確認）"</formula>
    </cfRule>
  </conditionalFormatting>
  <conditionalFormatting sqref="B34:T34">
    <cfRule type="expression" dxfId="199" priority="141" stopIfTrue="1">
      <formula>OR($T$34="ユーザ連携(資料作成中)",$T$34="ユーザ連携待ち(ﾚﾋﾞｭｰ時確認)",$T$34="ユーザ連携待ち",$T$34="ユーザ回答待ち")</formula>
    </cfRule>
    <cfRule type="expression" dxfId="198" priority="142" stopIfTrue="1">
      <formula>OR($T$34="対応内容確定",$T$34="対応中")</formula>
    </cfRule>
    <cfRule type="expression" dxfId="197" priority="143" stopIfTrue="1">
      <formula>OR($T$34="対応完了",$T$34="対応不要")</formula>
    </cfRule>
    <cfRule type="expression" dxfId="196" priority="144" stopIfTrue="1">
      <formula>OR($T$34="検討中",$T$34="保留中")</formula>
    </cfRule>
    <cfRule type="expression" dxfId="195" priority="145" stopIfTrue="1">
      <formula>$T$34="完了（仕様確認）"</formula>
    </cfRule>
  </conditionalFormatting>
  <conditionalFormatting sqref="B35:T35">
    <cfRule type="expression" dxfId="194" priority="146" stopIfTrue="1">
      <formula>OR($T$35="ユーザ連携(資料作成中)",$T$35="ユーザ連携待ち(ﾚﾋﾞｭｰ時確認)",$T$35="ユーザ連携待ち",$T$35="ユーザ回答待ち")</formula>
    </cfRule>
    <cfRule type="expression" dxfId="193" priority="147" stopIfTrue="1">
      <formula>OR($T$35="対応内容確定",$T$35="対応中")</formula>
    </cfRule>
    <cfRule type="expression" dxfId="192" priority="148" stopIfTrue="1">
      <formula>OR($T$35="対応完了",$T$35="対応不要")</formula>
    </cfRule>
    <cfRule type="expression" dxfId="191" priority="149" stopIfTrue="1">
      <formula>OR($T$35="検討中",$T$35="保留中")</formula>
    </cfRule>
    <cfRule type="expression" dxfId="190" priority="150" stopIfTrue="1">
      <formula>$T$35="完了（仕様確認）"</formula>
    </cfRule>
  </conditionalFormatting>
  <conditionalFormatting sqref="B36:T36">
    <cfRule type="expression" dxfId="189" priority="151" stopIfTrue="1">
      <formula>OR($T$36="ユーザ連携(資料作成中)",$T$36="ユーザ連携待ち(ﾚﾋﾞｭｰ時確認)",$T$36="ユーザ連携待ち",$T$36="ユーザ回答待ち")</formula>
    </cfRule>
    <cfRule type="expression" dxfId="188" priority="152" stopIfTrue="1">
      <formula>OR($T$36="対応内容確定",$T$36="対応中")</formula>
    </cfRule>
    <cfRule type="expression" dxfId="187" priority="153" stopIfTrue="1">
      <formula>OR($T$36="対応完了",$T$36="対応不要")</formula>
    </cfRule>
    <cfRule type="expression" dxfId="186" priority="154" stopIfTrue="1">
      <formula>OR($T$36="検討中",$T$36="保留中")</formula>
    </cfRule>
    <cfRule type="expression" dxfId="185" priority="155" stopIfTrue="1">
      <formula>$T$36="完了（仕様確認）"</formula>
    </cfRule>
  </conditionalFormatting>
  <conditionalFormatting sqref="B37:T37">
    <cfRule type="expression" dxfId="184" priority="156" stopIfTrue="1">
      <formula>OR($T$37="ユーザ連携(資料作成中)",$T$37="ユーザ連携待ち(ﾚﾋﾞｭｰ時確認)",$T$37="ユーザ連携待ち",$T$37="ユーザ回答待ち")</formula>
    </cfRule>
    <cfRule type="expression" dxfId="183" priority="157" stopIfTrue="1">
      <formula>OR($T$37="対応内容確定",$T$37="対応中")</formula>
    </cfRule>
    <cfRule type="expression" dxfId="182" priority="158" stopIfTrue="1">
      <formula>OR($T$37="対応完了",$T$37="対応不要")</formula>
    </cfRule>
    <cfRule type="expression" dxfId="181" priority="159" stopIfTrue="1">
      <formula>OR($T$37="検討中",$T$37="保留中")</formula>
    </cfRule>
    <cfRule type="expression" dxfId="180" priority="160" stopIfTrue="1">
      <formula>$T$37="完了（仕様確認）"</formula>
    </cfRule>
  </conditionalFormatting>
  <conditionalFormatting sqref="B38:T38">
    <cfRule type="expression" dxfId="179" priority="161" stopIfTrue="1">
      <formula>OR($T$38="ユーザ連携(資料作成中)",$T$38="ユーザ連携待ち(ﾚﾋﾞｭｰ時確認)",$T$38="ユーザ連携待ち",$T$38="ユーザ回答待ち")</formula>
    </cfRule>
    <cfRule type="expression" dxfId="178" priority="162" stopIfTrue="1">
      <formula>OR($T$38="対応内容確定",$T$38="対応中")</formula>
    </cfRule>
    <cfRule type="expression" dxfId="177" priority="163" stopIfTrue="1">
      <formula>OR($T$38="対応完了",$T$38="対応不要")</formula>
    </cfRule>
    <cfRule type="expression" dxfId="176" priority="164" stopIfTrue="1">
      <formula>OR($T$38="検討中",$T$38="保留中")</formula>
    </cfRule>
    <cfRule type="expression" dxfId="175" priority="165" stopIfTrue="1">
      <formula>$T$38="完了（仕様確認）"</formula>
    </cfRule>
  </conditionalFormatting>
  <conditionalFormatting sqref="B39:T39">
    <cfRule type="expression" dxfId="174" priority="166" stopIfTrue="1">
      <formula>OR($T$39="ユーザ連携(資料作成中)",$T$39="ユーザ連携待ち(ﾚﾋﾞｭｰ時確認)",$T$39="ユーザ連携待ち",$T$39="ユーザ回答待ち")</formula>
    </cfRule>
    <cfRule type="expression" dxfId="173" priority="167" stopIfTrue="1">
      <formula>OR($T$39="対応内容確定",$T$39="対応中")</formula>
    </cfRule>
    <cfRule type="expression" dxfId="172" priority="168" stopIfTrue="1">
      <formula>OR($T$39="対応完了",$T$39="対応不要")</formula>
    </cfRule>
    <cfRule type="expression" dxfId="171" priority="169" stopIfTrue="1">
      <formula>OR($T$39="検討中",$T$39="保留中")</formula>
    </cfRule>
    <cfRule type="expression" dxfId="170" priority="170" stopIfTrue="1">
      <formula>$T$39="完了（仕様確認）"</formula>
    </cfRule>
  </conditionalFormatting>
  <conditionalFormatting sqref="B40:T40">
    <cfRule type="expression" dxfId="169" priority="171" stopIfTrue="1">
      <formula>OR($T$40="ユーザ連携(資料作成中)",$T$40="ユーザ連携待ち(ﾚﾋﾞｭｰ時確認)",$T$40="ユーザ連携待ち",$T$40="ユーザ回答待ち")</formula>
    </cfRule>
    <cfRule type="expression" dxfId="168" priority="172" stopIfTrue="1">
      <formula>OR($T$40="対応内容確定",$T$40="対応中")</formula>
    </cfRule>
    <cfRule type="expression" dxfId="167" priority="173" stopIfTrue="1">
      <formula>OR($T$40="対応完了",$T$40="対応不要")</formula>
    </cfRule>
    <cfRule type="expression" dxfId="166" priority="174" stopIfTrue="1">
      <formula>OR($T$40="検討中",$T$40="保留中")</formula>
    </cfRule>
    <cfRule type="expression" dxfId="165" priority="175" stopIfTrue="1">
      <formula>$T$40="完了（仕様確認）"</formula>
    </cfRule>
  </conditionalFormatting>
  <conditionalFormatting sqref="B41:T41">
    <cfRule type="expression" dxfId="164" priority="176" stopIfTrue="1">
      <formula>OR($T$41="ユーザ連携(資料作成中)",$T$41="ユーザ連携待ち(ﾚﾋﾞｭｰ時確認)",$T$41="ユーザ連携待ち",$T$41="ユーザ回答待ち")</formula>
    </cfRule>
    <cfRule type="expression" dxfId="163" priority="177" stopIfTrue="1">
      <formula>OR($T$41="対応内容確定",$T$41="対応中")</formula>
    </cfRule>
    <cfRule type="expression" dxfId="162" priority="178" stopIfTrue="1">
      <formula>OR($T$41="対応完了",$T$41="対応不要")</formula>
    </cfRule>
    <cfRule type="expression" dxfId="161" priority="179" stopIfTrue="1">
      <formula>OR($T$41="検討中",$T$41="保留中")</formula>
    </cfRule>
    <cfRule type="expression" dxfId="160" priority="180" stopIfTrue="1">
      <formula>$T$41="完了（仕様確認）"</formula>
    </cfRule>
  </conditionalFormatting>
  <conditionalFormatting sqref="B42:T42">
    <cfRule type="expression" dxfId="159" priority="181" stopIfTrue="1">
      <formula>OR($T$42="ユーザ連携(資料作成中)",$T$42="ユーザ連携待ち(ﾚﾋﾞｭｰ時確認)",$T$42="ユーザ連携待ち",$T$42="ユーザ回答待ち")</formula>
    </cfRule>
    <cfRule type="expression" dxfId="158" priority="182" stopIfTrue="1">
      <formula>OR($T$42="対応内容確定",$T$42="対応中")</formula>
    </cfRule>
    <cfRule type="expression" dxfId="157" priority="183" stopIfTrue="1">
      <formula>OR($T$42="対応完了",$T$42="対応不要")</formula>
    </cfRule>
    <cfRule type="expression" dxfId="156" priority="184" stopIfTrue="1">
      <formula>OR($T$42="検討中",$T$42="保留中")</formula>
    </cfRule>
    <cfRule type="expression" dxfId="155" priority="185" stopIfTrue="1">
      <formula>$T$42="完了（仕様確認）"</formula>
    </cfRule>
  </conditionalFormatting>
  <conditionalFormatting sqref="B43:T43">
    <cfRule type="expression" dxfId="154" priority="186" stopIfTrue="1">
      <formula>OR($T$43="ユーザ連携(資料作成中)",$T$43="ユーザ連携待ち(ﾚﾋﾞｭｰ時確認)",$T$43="ユーザ連携待ち",$T$43="ユーザ回答待ち")</formula>
    </cfRule>
    <cfRule type="expression" dxfId="153" priority="187" stopIfTrue="1">
      <formula>OR($T$43="対応内容確定",$T$43="対応中")</formula>
    </cfRule>
    <cfRule type="expression" dxfId="152" priority="188" stopIfTrue="1">
      <formula>OR($T$43="対応完了",$T$43="対応不要")</formula>
    </cfRule>
    <cfRule type="expression" dxfId="151" priority="189" stopIfTrue="1">
      <formula>OR($T$43="検討中",$T$43="保留中")</formula>
    </cfRule>
    <cfRule type="expression" dxfId="150" priority="190" stopIfTrue="1">
      <formula>$T$43="完了（仕様確認）"</formula>
    </cfRule>
  </conditionalFormatting>
  <conditionalFormatting sqref="B44:T44">
    <cfRule type="expression" dxfId="149" priority="191" stopIfTrue="1">
      <formula>OR($T$44="ユーザ連携(資料作成中)",$T$44="ユーザ連携待ち(ﾚﾋﾞｭｰ時確認)",$T$44="ユーザ連携待ち",$T$44="ユーザ回答待ち")</formula>
    </cfRule>
    <cfRule type="expression" dxfId="148" priority="192" stopIfTrue="1">
      <formula>OR($T$44="対応内容確定",$T$44="対応中")</formula>
    </cfRule>
    <cfRule type="expression" dxfId="147" priority="193" stopIfTrue="1">
      <formula>OR($T$44="対応完了",$T$44="対応不要")</formula>
    </cfRule>
    <cfRule type="expression" dxfId="146" priority="194" stopIfTrue="1">
      <formula>OR($T$44="検討中",$T$44="保留中")</formula>
    </cfRule>
    <cfRule type="expression" dxfId="145" priority="195" stopIfTrue="1">
      <formula>$T$44="完了（仕様確認）"</formula>
    </cfRule>
  </conditionalFormatting>
  <conditionalFormatting sqref="B45:T45">
    <cfRule type="expression" dxfId="144" priority="196" stopIfTrue="1">
      <formula>OR($T$45="ユーザ連携(資料作成中)",$T$45="ユーザ連携待ち(ﾚﾋﾞｭｰ時確認)",$T$45="ユーザ連携待ち",$T$45="ユーザ回答待ち")</formula>
    </cfRule>
    <cfRule type="expression" dxfId="143" priority="197" stopIfTrue="1">
      <formula>OR($T$45="対応内容確定",$T$45="対応中")</formula>
    </cfRule>
    <cfRule type="expression" dxfId="142" priority="198" stopIfTrue="1">
      <formula>OR($T$45="対応完了",$T$45="対応不要")</formula>
    </cfRule>
    <cfRule type="expression" dxfId="141" priority="199" stopIfTrue="1">
      <formula>OR($T$45="検討中",$T$45="保留中")</formula>
    </cfRule>
    <cfRule type="expression" dxfId="140" priority="200" stopIfTrue="1">
      <formula>$T$45="完了（仕様確認）"</formula>
    </cfRule>
  </conditionalFormatting>
  <conditionalFormatting sqref="B46:T46">
    <cfRule type="expression" dxfId="139" priority="201" stopIfTrue="1">
      <formula>OR($T$46="ユーザ連携(資料作成中)",$T$46="ユーザ連携待ち(ﾚﾋﾞｭｰ時確認)",$T$46="ユーザ連携待ち",$T$46="ユーザ回答待ち")</formula>
    </cfRule>
    <cfRule type="expression" dxfId="138" priority="202" stopIfTrue="1">
      <formula>OR($T$46="対応内容確定",$T$46="対応中")</formula>
    </cfRule>
    <cfRule type="expression" dxfId="137" priority="203" stopIfTrue="1">
      <formula>OR($T$46="対応完了",$T$46="対応不要")</formula>
    </cfRule>
    <cfRule type="expression" dxfId="136" priority="204" stopIfTrue="1">
      <formula>OR($T$46="検討中",$T$46="保留中")</formula>
    </cfRule>
    <cfRule type="expression" dxfId="135" priority="205" stopIfTrue="1">
      <formula>$T$46="完了（仕様確認）"</formula>
    </cfRule>
  </conditionalFormatting>
  <conditionalFormatting sqref="B47:T47">
    <cfRule type="expression" dxfId="134" priority="206" stopIfTrue="1">
      <formula>OR($T$47="ユーザ連携(資料作成中)",$T$47="ユーザ連携待ち(ﾚﾋﾞｭｰ時確認)",$T$47="ユーザ連携待ち",$T$47="ユーザ回答待ち")</formula>
    </cfRule>
    <cfRule type="expression" dxfId="133" priority="207" stopIfTrue="1">
      <formula>OR($T$47="対応内容確定",$T$47="対応中")</formula>
    </cfRule>
    <cfRule type="expression" dxfId="132" priority="208" stopIfTrue="1">
      <formula>OR($T$47="対応完了",$T$47="対応不要")</formula>
    </cfRule>
    <cfRule type="expression" dxfId="131" priority="209" stopIfTrue="1">
      <formula>OR($T$47="検討中",$T$47="保留中")</formula>
    </cfRule>
    <cfRule type="expression" dxfId="130" priority="210" stopIfTrue="1">
      <formula>$T$47="完了（仕様確認）"</formula>
    </cfRule>
  </conditionalFormatting>
  <conditionalFormatting sqref="B48:T48">
    <cfRule type="expression" dxfId="129" priority="211" stopIfTrue="1">
      <formula>OR($T$48="ユーザ連携(資料作成中)",$T$48="ユーザ連携待ち(ﾚﾋﾞｭｰ時確認)",$T$48="ユーザ連携待ち",$T$48="ユーザ回答待ち")</formula>
    </cfRule>
    <cfRule type="expression" dxfId="128" priority="212" stopIfTrue="1">
      <formula>OR($T$48="対応内容確定",$T$48="対応中")</formula>
    </cfRule>
    <cfRule type="expression" dxfId="127" priority="213" stopIfTrue="1">
      <formula>OR($T$48="対応完了",$T$48="対応不要")</formula>
    </cfRule>
    <cfRule type="expression" dxfId="126" priority="214" stopIfTrue="1">
      <formula>OR($T$48="検討中",$T$48="保留中")</formula>
    </cfRule>
    <cfRule type="expression" dxfId="125" priority="215" stopIfTrue="1">
      <formula>$T$48="完了（仕様確認）"</formula>
    </cfRule>
  </conditionalFormatting>
  <conditionalFormatting sqref="B49:T49">
    <cfRule type="expression" dxfId="124" priority="216" stopIfTrue="1">
      <formula>OR($T$49="ユーザ連携(資料作成中)",$T$49="ユーザ連携待ち(ﾚﾋﾞｭｰ時確認)",$T$49="ユーザ連携待ち",$T$49="ユーザ回答待ち")</formula>
    </cfRule>
    <cfRule type="expression" dxfId="123" priority="217" stopIfTrue="1">
      <formula>OR($T$49="対応内容確定",$T$49="対応中")</formula>
    </cfRule>
    <cfRule type="expression" dxfId="122" priority="218" stopIfTrue="1">
      <formula>OR($T$49="対応完了",$T$49="対応不要")</formula>
    </cfRule>
    <cfRule type="expression" dxfId="121" priority="219" stopIfTrue="1">
      <formula>OR($T$49="検討中",$T$49="保留中")</formula>
    </cfRule>
    <cfRule type="expression" dxfId="120" priority="220" stopIfTrue="1">
      <formula>$T$49="完了（仕様確認）"</formula>
    </cfRule>
  </conditionalFormatting>
  <conditionalFormatting sqref="B50:T50">
    <cfRule type="expression" dxfId="119" priority="221" stopIfTrue="1">
      <formula>OR($T$50="ユーザ連携(資料作成中)",$T$50="ユーザ連携待ち(ﾚﾋﾞｭｰ時確認)",$T$50="ユーザ連携待ち",$T$50="ユーザ回答待ち")</formula>
    </cfRule>
    <cfRule type="expression" dxfId="118" priority="222" stopIfTrue="1">
      <formula>OR($T$50="対応内容確定",$T$50="対応中")</formula>
    </cfRule>
    <cfRule type="expression" dxfId="117" priority="223" stopIfTrue="1">
      <formula>OR($T$50="対応完了",$T$50="対応不要")</formula>
    </cfRule>
    <cfRule type="expression" dxfId="116" priority="224" stopIfTrue="1">
      <formula>OR($T$50="検討中",$T$50="保留中")</formula>
    </cfRule>
    <cfRule type="expression" dxfId="115" priority="225" stopIfTrue="1">
      <formula>$T$50="完了（仕様確認）"</formula>
    </cfRule>
  </conditionalFormatting>
  <conditionalFormatting sqref="B51:T51">
    <cfRule type="expression" dxfId="114" priority="226" stopIfTrue="1">
      <formula>OR($T$51="ユーザ連携(資料作成中)",$T$51="ユーザ連携待ち(ﾚﾋﾞｭｰ時確認)",$T$51="ユーザ連携待ち",$T$51="ユーザ回答待ち")</formula>
    </cfRule>
    <cfRule type="expression" dxfId="113" priority="227" stopIfTrue="1">
      <formula>OR($T$51="対応内容確定",$T$51="対応中")</formula>
    </cfRule>
    <cfRule type="expression" dxfId="112" priority="228" stopIfTrue="1">
      <formula>OR($T$51="対応完了",$T$51="対応不要")</formula>
    </cfRule>
    <cfRule type="expression" dxfId="111" priority="229" stopIfTrue="1">
      <formula>OR($T$51="検討中",$T$51="保留中")</formula>
    </cfRule>
    <cfRule type="expression" dxfId="110" priority="230" stopIfTrue="1">
      <formula>$T$51="完了（仕様確認）"</formula>
    </cfRule>
  </conditionalFormatting>
  <conditionalFormatting sqref="B52:T52">
    <cfRule type="expression" dxfId="109" priority="231" stopIfTrue="1">
      <formula>OR($T$52="ユーザ連携(資料作成中)",$T$52="ユーザ連携待ち(ﾚﾋﾞｭｰ時確認)",$T$52="ユーザ連携待ち",$T$52="ユーザ回答待ち")</formula>
    </cfRule>
    <cfRule type="expression" dxfId="108" priority="232" stopIfTrue="1">
      <formula>OR($T$52="対応内容確定",$T$52="対応中")</formula>
    </cfRule>
    <cfRule type="expression" dxfId="107" priority="233" stopIfTrue="1">
      <formula>OR($T$52="対応完了",$T$52="対応不要")</formula>
    </cfRule>
    <cfRule type="expression" dxfId="106" priority="234" stopIfTrue="1">
      <formula>OR($T$52="検討中",$T$52="保留中")</formula>
    </cfRule>
    <cfRule type="expression" dxfId="105" priority="235" stopIfTrue="1">
      <formula>$T$52="完了（仕様確認）"</formula>
    </cfRule>
  </conditionalFormatting>
  <conditionalFormatting sqref="B53:T53">
    <cfRule type="expression" dxfId="104" priority="236" stopIfTrue="1">
      <formula>OR($T$53="ユーザ連携(資料作成中)",$T$53="ユーザ連携待ち(ﾚﾋﾞｭｰ時確認)",$T$53="ユーザ連携待ち",$T$53="ユーザ回答待ち")</formula>
    </cfRule>
    <cfRule type="expression" dxfId="103" priority="237" stopIfTrue="1">
      <formula>OR($T$53="対応内容確定",$T$53="対応中")</formula>
    </cfRule>
    <cfRule type="expression" dxfId="102" priority="238" stopIfTrue="1">
      <formula>OR($T$53="対応完了",$T$53="対応不要")</formula>
    </cfRule>
    <cfRule type="expression" dxfId="101" priority="239" stopIfTrue="1">
      <formula>OR($T$53="検討中",$T$53="保留中")</formula>
    </cfRule>
    <cfRule type="expression" dxfId="100" priority="240" stopIfTrue="1">
      <formula>$T$53="完了（仕様確認）"</formula>
    </cfRule>
  </conditionalFormatting>
  <conditionalFormatting sqref="B54:T54">
    <cfRule type="expression" dxfId="99" priority="241" stopIfTrue="1">
      <formula>OR($T$54="ユーザ連携(資料作成中)",$T$54="ユーザ連携待ち(ﾚﾋﾞｭｰ時確認)",$T$54="ユーザ連携待ち",$T$54="ユーザ回答待ち")</formula>
    </cfRule>
    <cfRule type="expression" dxfId="98" priority="242" stopIfTrue="1">
      <formula>OR($T$54="対応内容確定",$T$54="対応中")</formula>
    </cfRule>
    <cfRule type="expression" dxfId="97" priority="243" stopIfTrue="1">
      <formula>OR($T$54="対応完了",$T$54="対応不要")</formula>
    </cfRule>
    <cfRule type="expression" dxfId="96" priority="244" stopIfTrue="1">
      <formula>OR($T$54="検討中",$T$54="保留中")</formula>
    </cfRule>
    <cfRule type="expression" dxfId="95" priority="245" stopIfTrue="1">
      <formula>$T$54="完了（仕様確認）"</formula>
    </cfRule>
  </conditionalFormatting>
  <conditionalFormatting sqref="B55:T55">
    <cfRule type="expression" dxfId="94" priority="246" stopIfTrue="1">
      <formula>OR($T$55="ユーザ連携(資料作成中)",$T$55="ユーザ連携待ち(ﾚﾋﾞｭｰ時確認)",$T$55="ユーザ連携待ち",$T$55="ユーザ回答待ち")</formula>
    </cfRule>
    <cfRule type="expression" dxfId="93" priority="247" stopIfTrue="1">
      <formula>OR($T$55="対応内容確定",$T$55="対応中")</formula>
    </cfRule>
    <cfRule type="expression" dxfId="92" priority="248" stopIfTrue="1">
      <formula>OR($T$55="対応完了",$T$55="対応不要")</formula>
    </cfRule>
    <cfRule type="expression" dxfId="91" priority="249" stopIfTrue="1">
      <formula>OR($T$55="検討中",$T$55="保留中")</formula>
    </cfRule>
    <cfRule type="expression" dxfId="90" priority="250" stopIfTrue="1">
      <formula>$T$55="完了（仕様確認）"</formula>
    </cfRule>
  </conditionalFormatting>
  <conditionalFormatting sqref="B56:T56">
    <cfRule type="expression" dxfId="89" priority="251" stopIfTrue="1">
      <formula>OR($T$56="ユーザ連携(資料作成中)",$T$56="ユーザ連携待ち(ﾚﾋﾞｭｰ時確認)",$T$56="ユーザ連携待ち",$T$56="ユーザ回答待ち")</formula>
    </cfRule>
    <cfRule type="expression" dxfId="88" priority="252" stopIfTrue="1">
      <formula>OR($T$56="対応内容確定",$T$56="対応中")</formula>
    </cfRule>
    <cfRule type="expression" dxfId="87" priority="253" stopIfTrue="1">
      <formula>OR($T$56="対応完了",$T$56="対応不要")</formula>
    </cfRule>
    <cfRule type="expression" dxfId="86" priority="254" stopIfTrue="1">
      <formula>OR($T$56="検討中",$T$56="保留中")</formula>
    </cfRule>
    <cfRule type="expression" dxfId="85" priority="255" stopIfTrue="1">
      <formula>$T$56="完了（仕様確認）"</formula>
    </cfRule>
  </conditionalFormatting>
  <conditionalFormatting sqref="B57:T57">
    <cfRule type="expression" dxfId="84" priority="256" stopIfTrue="1">
      <formula>OR($T$57="ユーザ連携(資料作成中)",$T$57="ユーザ連携待ち(ﾚﾋﾞｭｰ時確認)",$T$57="ユーザ連携待ち",$T$57="ユーザ回答待ち")</formula>
    </cfRule>
    <cfRule type="expression" dxfId="83" priority="257" stopIfTrue="1">
      <formula>OR($T$57="対応内容確定",$T$57="対応中")</formula>
    </cfRule>
    <cfRule type="expression" dxfId="82" priority="258" stopIfTrue="1">
      <formula>OR($T$57="対応完了",$T$57="対応不要")</formula>
    </cfRule>
    <cfRule type="expression" dxfId="81" priority="259" stopIfTrue="1">
      <formula>OR($T$57="検討中",$T$57="保留中")</formula>
    </cfRule>
    <cfRule type="expression" dxfId="80" priority="260" stopIfTrue="1">
      <formula>$T$57="完了（仕様確認）"</formula>
    </cfRule>
  </conditionalFormatting>
  <conditionalFormatting sqref="B58:T58">
    <cfRule type="expression" dxfId="79" priority="261" stopIfTrue="1">
      <formula>OR($T$58="ユーザ連携(資料作成中)",$T$58="ユーザ連携待ち(ﾚﾋﾞｭｰ時確認)",$T$58="ユーザ連携待ち",$T$58="ユーザ回答待ち")</formula>
    </cfRule>
    <cfRule type="expression" dxfId="78" priority="262" stopIfTrue="1">
      <formula>OR($T$58="対応内容確定",$T$58="対応中")</formula>
    </cfRule>
    <cfRule type="expression" dxfId="77" priority="263" stopIfTrue="1">
      <formula>OR($T$58="対応完了",$T$58="対応不要")</formula>
    </cfRule>
    <cfRule type="expression" dxfId="76" priority="264" stopIfTrue="1">
      <formula>OR($T$58="検討中",$T$58="保留中")</formula>
    </cfRule>
    <cfRule type="expression" dxfId="75" priority="265" stopIfTrue="1">
      <formula>$T$58="完了（仕様確認）"</formula>
    </cfRule>
  </conditionalFormatting>
  <conditionalFormatting sqref="B59:T59">
    <cfRule type="expression" dxfId="74" priority="266" stopIfTrue="1">
      <formula>OR($T$59="ユーザ連携(資料作成中)",$T$59="ユーザ連携待ち(ﾚﾋﾞｭｰ時確認)",$T$59="ユーザ連携待ち",$T$59="ユーザ回答待ち")</formula>
    </cfRule>
    <cfRule type="expression" dxfId="73" priority="267" stopIfTrue="1">
      <formula>OR($T$59="対応内容確定",$T$59="対応中")</formula>
    </cfRule>
    <cfRule type="expression" dxfId="72" priority="268" stopIfTrue="1">
      <formula>OR($T$59="対応完了",$T$59="対応不要")</formula>
    </cfRule>
    <cfRule type="expression" dxfId="71" priority="269" stopIfTrue="1">
      <formula>OR($T$59="検討中",$T$59="保留中")</formula>
    </cfRule>
    <cfRule type="expression" dxfId="70" priority="270" stopIfTrue="1">
      <formula>$T$59="完了（仕様確認）"</formula>
    </cfRule>
  </conditionalFormatting>
  <conditionalFormatting sqref="B60:T60">
    <cfRule type="expression" dxfId="69" priority="271" stopIfTrue="1">
      <formula>OR($T$60="ユーザ連携(資料作成中)",$T$60="ユーザ連携待ち(ﾚﾋﾞｭｰ時確認)",$T$60="ユーザ連携待ち",$T$60="ユーザ回答待ち")</formula>
    </cfRule>
    <cfRule type="expression" dxfId="68" priority="272" stopIfTrue="1">
      <formula>OR($T$60="対応内容確定",$T$60="対応中")</formula>
    </cfRule>
    <cfRule type="expression" dxfId="67" priority="273" stopIfTrue="1">
      <formula>OR($T$60="対応完了",$T$60="対応不要")</formula>
    </cfRule>
    <cfRule type="expression" dxfId="66" priority="274" stopIfTrue="1">
      <formula>OR($T$60="検討中",$T$60="保留中")</formula>
    </cfRule>
    <cfRule type="expression" dxfId="65" priority="275" stopIfTrue="1">
      <formula>$T$60="完了（仕様確認）"</formula>
    </cfRule>
  </conditionalFormatting>
  <conditionalFormatting sqref="B61:T61">
    <cfRule type="expression" dxfId="64" priority="276" stopIfTrue="1">
      <formula>OR($T$61="ユーザ連携(資料作成中)",$T$61="ユーザ連携待ち(ﾚﾋﾞｭｰ時確認)",$T$61="ユーザ連携待ち",$T$61="ユーザ回答待ち")</formula>
    </cfRule>
    <cfRule type="expression" dxfId="63" priority="277" stopIfTrue="1">
      <formula>OR($T$61="対応内容確定",$T$61="対応中")</formula>
    </cfRule>
    <cfRule type="expression" dxfId="62" priority="278" stopIfTrue="1">
      <formula>OR($T$61="対応完了",$T$61="対応不要")</formula>
    </cfRule>
    <cfRule type="expression" dxfId="61" priority="279" stopIfTrue="1">
      <formula>OR($T$61="検討中",$T$61="保留中")</formula>
    </cfRule>
    <cfRule type="expression" dxfId="60" priority="280" stopIfTrue="1">
      <formula>$T$61="完了（仕様確認）"</formula>
    </cfRule>
  </conditionalFormatting>
  <conditionalFormatting sqref="B62:T62">
    <cfRule type="expression" dxfId="59" priority="281" stopIfTrue="1">
      <formula>OR($T$62="ユーザ連携(資料作成中)",$T$62="ユーザ連携待ち(ﾚﾋﾞｭｰ時確認)",$T$62="ユーザ連携待ち",$T$62="ユーザ回答待ち")</formula>
    </cfRule>
    <cfRule type="expression" dxfId="58" priority="282" stopIfTrue="1">
      <formula>OR($T$62="対応内容確定",$T$62="対応中")</formula>
    </cfRule>
    <cfRule type="expression" dxfId="57" priority="283" stopIfTrue="1">
      <formula>OR($T$62="対応完了",$T$62="対応不要")</formula>
    </cfRule>
    <cfRule type="expression" dxfId="56" priority="284" stopIfTrue="1">
      <formula>OR($T$62="検討中",$T$62="保留中")</formula>
    </cfRule>
    <cfRule type="expression" dxfId="55" priority="285" stopIfTrue="1">
      <formula>$T$62="完了（仕様確認）"</formula>
    </cfRule>
  </conditionalFormatting>
  <conditionalFormatting sqref="B63:T63">
    <cfRule type="expression" dxfId="54" priority="286" stopIfTrue="1">
      <formula>OR($T$63="ユーザ連携(資料作成中)",$T$63="ユーザ連携待ち(ﾚﾋﾞｭｰ時確認)",$T$63="ユーザ連携待ち",$T$63="ユーザ回答待ち")</formula>
    </cfRule>
    <cfRule type="expression" dxfId="53" priority="287" stopIfTrue="1">
      <formula>OR($T$63="対応内容確定",$T$63="対応中")</formula>
    </cfRule>
    <cfRule type="expression" dxfId="52" priority="288" stopIfTrue="1">
      <formula>OR($T$63="対応完了",$T$63="対応不要")</formula>
    </cfRule>
    <cfRule type="expression" dxfId="51" priority="289" stopIfTrue="1">
      <formula>OR($T$63="検討中",$T$63="保留中")</formula>
    </cfRule>
    <cfRule type="expression" dxfId="50" priority="290" stopIfTrue="1">
      <formula>$T$63="完了（仕様確認）"</formula>
    </cfRule>
  </conditionalFormatting>
  <conditionalFormatting sqref="B64:T64">
    <cfRule type="expression" dxfId="49" priority="291" stopIfTrue="1">
      <formula>OR($T$64="ユーザ連携(資料作成中)",$T$64="ユーザ連携待ち(ﾚﾋﾞｭｰ時確認)",$T$64="ユーザ連携待ち",$T$64="ユーザ回答待ち")</formula>
    </cfRule>
    <cfRule type="expression" dxfId="48" priority="292" stopIfTrue="1">
      <formula>OR($T$64="対応内容確定",$T$64="対応中")</formula>
    </cfRule>
    <cfRule type="expression" dxfId="47" priority="293" stopIfTrue="1">
      <formula>OR($T$64="対応完了",$T$64="対応不要")</formula>
    </cfRule>
    <cfRule type="expression" dxfId="46" priority="294" stopIfTrue="1">
      <formula>OR($T$64="検討中",$T$64="保留中")</formula>
    </cfRule>
    <cfRule type="expression" dxfId="45" priority="295" stopIfTrue="1">
      <formula>$T$64="完了（仕様確認）"</formula>
    </cfRule>
  </conditionalFormatting>
  <conditionalFormatting sqref="B65:T65">
    <cfRule type="expression" dxfId="44" priority="296" stopIfTrue="1">
      <formula>OR($T$65="ユーザ連携(資料作成中)",$T$65="ユーザ連携待ち(ﾚﾋﾞｭｰ時確認)",$T$65="ユーザ連携待ち",$T$65="ユーザ回答待ち")</formula>
    </cfRule>
    <cfRule type="expression" dxfId="43" priority="297" stopIfTrue="1">
      <formula>OR($T$65="対応内容確定",$T$65="対応中")</formula>
    </cfRule>
    <cfRule type="expression" dxfId="42" priority="298" stopIfTrue="1">
      <formula>OR($T$65="対応完了",$T$65="対応不要")</formula>
    </cfRule>
    <cfRule type="expression" dxfId="41" priority="299" stopIfTrue="1">
      <formula>OR($T$65="検討中",$T$65="保留中")</formula>
    </cfRule>
    <cfRule type="expression" dxfId="40" priority="300" stopIfTrue="1">
      <formula>$T$65="完了（仕様確認）"</formula>
    </cfRule>
  </conditionalFormatting>
  <conditionalFormatting sqref="B66:T66">
    <cfRule type="expression" dxfId="39" priority="301" stopIfTrue="1">
      <formula>OR($T$66="ユーザ連携(資料作成中)",$T$66="ユーザ連携待ち(ﾚﾋﾞｭｰ時確認)",$T$66="ユーザ連携待ち",$T$66="ユーザ回答待ち")</formula>
    </cfRule>
    <cfRule type="expression" dxfId="38" priority="302" stopIfTrue="1">
      <formula>OR($T$66="対応内容確定",$T$66="対応中")</formula>
    </cfRule>
    <cfRule type="expression" dxfId="37" priority="303" stopIfTrue="1">
      <formula>OR($T$66="対応完了",$T$66="対応不要")</formula>
    </cfRule>
    <cfRule type="expression" dxfId="36" priority="304" stopIfTrue="1">
      <formula>OR($T$66="検討中",$T$66="保留中")</formula>
    </cfRule>
    <cfRule type="expression" dxfId="35" priority="305" stopIfTrue="1">
      <formula>$T$66="完了（仕様確認）"</formula>
    </cfRule>
  </conditionalFormatting>
  <conditionalFormatting sqref="B67:T67">
    <cfRule type="expression" dxfId="34" priority="306" stopIfTrue="1">
      <formula>OR($T$67="ユーザ連携(資料作成中)",$T$67="ユーザ連携待ち(ﾚﾋﾞｭｰ時確認)",$T$67="ユーザ連携待ち",$T$67="ユーザ回答待ち")</formula>
    </cfRule>
    <cfRule type="expression" dxfId="33" priority="307" stopIfTrue="1">
      <formula>OR($T$67="対応内容確定",$T$67="対応中")</formula>
    </cfRule>
    <cfRule type="expression" dxfId="32" priority="308" stopIfTrue="1">
      <formula>OR($T$67="対応完了",$T$67="対応不要")</formula>
    </cfRule>
    <cfRule type="expression" dxfId="31" priority="309" stopIfTrue="1">
      <formula>OR($T$67="検討中",$T$67="保留中")</formula>
    </cfRule>
    <cfRule type="expression" dxfId="30" priority="310" stopIfTrue="1">
      <formula>$T$67="完了（仕様確認）"</formula>
    </cfRule>
  </conditionalFormatting>
  <conditionalFormatting sqref="B68:T68">
    <cfRule type="expression" dxfId="29" priority="311" stopIfTrue="1">
      <formula>OR($T$68="ユーザ連携(資料作成中)",$T$68="ユーザ連携待ち(ﾚﾋﾞｭｰ時確認)",$T$68="ユーザ連携待ち",$T$68="ユーザ回答待ち")</formula>
    </cfRule>
    <cfRule type="expression" dxfId="28" priority="312" stopIfTrue="1">
      <formula>OR($T$68="対応内容確定",$T$68="対応中")</formula>
    </cfRule>
    <cfRule type="expression" dxfId="27" priority="313" stopIfTrue="1">
      <formula>OR($T$68="対応完了",$T$68="対応不要")</formula>
    </cfRule>
    <cfRule type="expression" dxfId="26" priority="314" stopIfTrue="1">
      <formula>OR($T$68="検討中",$T$68="保留中")</formula>
    </cfRule>
    <cfRule type="expression" dxfId="25" priority="315" stopIfTrue="1">
      <formula>$T$68="完了（仕様確認）"</formula>
    </cfRule>
  </conditionalFormatting>
  <conditionalFormatting sqref="B69:T69">
    <cfRule type="expression" dxfId="24" priority="316" stopIfTrue="1">
      <formula>OR($T$69="ユーザ連携(資料作成中)",$T$69="ユーザ連携待ち(ﾚﾋﾞｭｰ時確認)",$T$69="ユーザ連携待ち",$T$69="ユーザ回答待ち")</formula>
    </cfRule>
    <cfRule type="expression" dxfId="23" priority="317" stopIfTrue="1">
      <formula>OR($T$69="対応内容確定",$T$69="対応中")</formula>
    </cfRule>
    <cfRule type="expression" dxfId="22" priority="318" stopIfTrue="1">
      <formula>OR($T$69="対応完了",$T$69="対応不要")</formula>
    </cfRule>
    <cfRule type="expression" dxfId="21" priority="319" stopIfTrue="1">
      <formula>OR($T$69="検討中",$T$69="保留中")</formula>
    </cfRule>
    <cfRule type="expression" dxfId="20" priority="320" stopIfTrue="1">
      <formula>$T$69="完了（仕様確認）"</formula>
    </cfRule>
  </conditionalFormatting>
  <conditionalFormatting sqref="B70:T70">
    <cfRule type="expression" dxfId="19" priority="321" stopIfTrue="1">
      <formula>OR($T$70="ユーザ連携(資料作成中)",$T$70="ユーザ連携待ち(ﾚﾋﾞｭｰ時確認)",$T$70="ユーザ連携待ち",$T$70="ユーザ回答待ち")</formula>
    </cfRule>
    <cfRule type="expression" dxfId="18" priority="322" stopIfTrue="1">
      <formula>OR($T$70="対応内容確定",$T$70="対応中")</formula>
    </cfRule>
    <cfRule type="expression" dxfId="17" priority="323" stopIfTrue="1">
      <formula>OR($T$70="対応完了",$T$70="対応不要")</formula>
    </cfRule>
    <cfRule type="expression" dxfId="16" priority="324" stopIfTrue="1">
      <formula>OR($T$70="検討中",$T$70="保留中")</formula>
    </cfRule>
    <cfRule type="expression" dxfId="15" priority="325" stopIfTrue="1">
      <formula>$T$70="完了（仕様確認）"</formula>
    </cfRule>
  </conditionalFormatting>
  <conditionalFormatting sqref="B71:T71">
    <cfRule type="expression" dxfId="14" priority="326" stopIfTrue="1">
      <formula>OR($T$71="ユーザ連携(資料作成中)",$T$71="ユーザ連携待ち(ﾚﾋﾞｭｰ時確認)",$T$71="ユーザ連携待ち",$T$71="ユーザ回答待ち")</formula>
    </cfRule>
    <cfRule type="expression" dxfId="13" priority="327" stopIfTrue="1">
      <formula>OR($T$71="対応内容確定",$T$71="対応中")</formula>
    </cfRule>
    <cfRule type="expression" dxfId="12" priority="328" stopIfTrue="1">
      <formula>OR($T$71="対応完了",$T$71="対応不要")</formula>
    </cfRule>
    <cfRule type="expression" dxfId="11" priority="329" stopIfTrue="1">
      <formula>OR($T$71="検討中",$T$71="保留中")</formula>
    </cfRule>
    <cfRule type="expression" dxfId="10" priority="330" stopIfTrue="1">
      <formula>$T$71="完了（仕様確認）"</formula>
    </cfRule>
  </conditionalFormatting>
  <conditionalFormatting sqref="B72:T72">
    <cfRule type="expression" dxfId="9" priority="331" stopIfTrue="1">
      <formula>OR($T$72="ユーザ連携(資料作成中)",$T$72="ユーザ連携待ち(ﾚﾋﾞｭｰ時確認)",$T$72="ユーザ連携待ち",$T$72="ユーザ回答待ち")</formula>
    </cfRule>
    <cfRule type="expression" dxfId="8" priority="332" stopIfTrue="1">
      <formula>OR($T$72="対応内容確定",$T$72="対応中")</formula>
    </cfRule>
    <cfRule type="expression" dxfId="7" priority="333" stopIfTrue="1">
      <formula>OR($T$72="対応完了",$T$72="対応不要")</formula>
    </cfRule>
    <cfRule type="expression" dxfId="6" priority="334" stopIfTrue="1">
      <formula>OR($T$72="検討中",$T$72="保留中")</formula>
    </cfRule>
    <cfRule type="expression" dxfId="5" priority="335" stopIfTrue="1">
      <formula>$T$72="完了（仕様確認）"</formula>
    </cfRule>
  </conditionalFormatting>
  <conditionalFormatting sqref="B73:T73">
    <cfRule type="expression" dxfId="4" priority="336" stopIfTrue="1">
      <formula>OR($T$73="ユーザ連携(資料作成中)",$T$73="ユーザ連携待ち(ﾚﾋﾞｭｰ時確認)",$T$73="ユーザ連携待ち",$T$73="ユーザ回答待ち")</formula>
    </cfRule>
    <cfRule type="expression" dxfId="3" priority="337" stopIfTrue="1">
      <formula>OR($T$73="対応内容確定",$T$73="対応中")</formula>
    </cfRule>
    <cfRule type="expression" dxfId="2" priority="338" stopIfTrue="1">
      <formula>OR($T$73="対応完了",$T$73="対応不要")</formula>
    </cfRule>
    <cfRule type="expression" dxfId="1" priority="339" stopIfTrue="1">
      <formula>OR($T$73="検討中",$T$73="保留中")</formula>
    </cfRule>
    <cfRule type="expression" dxfId="0" priority="340" stopIfTrue="1">
      <formula>$T$73="完了（仕様確認）"</formula>
    </cfRule>
  </conditionalFormatting>
  <dataValidations count="6">
    <dataValidation type="list" allowBlank="1" showInputMessage="1" showErrorMessage="1" sqref="C6:C73">
      <formula1>M_WorkName</formula1>
    </dataValidation>
    <dataValidation type="list" allowBlank="1" showInputMessage="1" showErrorMessage="1" sqref="G6:G73">
      <formula1>M_Process</formula1>
    </dataValidation>
    <dataValidation type="list" allowBlank="1" showInputMessage="1" showErrorMessage="1" sqref="H6:H73">
      <formula1>M_Task</formula1>
    </dataValidation>
    <dataValidation type="list" allowBlank="1" showInputMessage="1" showErrorMessage="1" sqref="S6:S73">
      <formula1>M_Relation</formula1>
    </dataValidation>
    <dataValidation type="list" allowBlank="1" showInputMessage="1" showErrorMessage="1" sqref="T6:T73">
      <formula1>M_Situation</formula1>
    </dataValidation>
    <dataValidation type="list" allowBlank="1" showInputMessage="1" showErrorMessage="1" sqref="I6:I73">
      <formula1>M_Priority</formula1>
    </dataValidation>
  </dataValidation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2"/>
  <dimension ref="C2:O41"/>
  <sheetViews>
    <sheetView zoomScale="85" zoomScaleNormal="85" workbookViewId="0"/>
  </sheetViews>
  <sheetFormatPr defaultRowHeight="13.5"/>
  <cols>
    <col min="1" max="3" width="2.625" customWidth="1"/>
    <col min="4" max="4" width="9.625" bestFit="1" customWidth="1"/>
    <col min="5" max="5" width="7.125" bestFit="1" customWidth="1"/>
    <col min="6" max="6" width="9" bestFit="1" customWidth="1"/>
    <col min="7" max="7" width="28.125" bestFit="1" customWidth="1"/>
    <col min="8" max="8" width="22" bestFit="1" customWidth="1"/>
    <col min="11" max="11" width="3.125" customWidth="1"/>
    <col min="12" max="12" width="14.125" customWidth="1"/>
    <col min="13" max="13" width="26.375" bestFit="1" customWidth="1"/>
    <col min="14" max="14" width="53.375" bestFit="1" customWidth="1"/>
    <col min="15" max="15" width="12" customWidth="1"/>
  </cols>
  <sheetData>
    <row r="2" spans="3:15">
      <c r="C2" t="s">
        <v>14</v>
      </c>
      <c r="K2" t="s">
        <v>45</v>
      </c>
    </row>
    <row r="3" spans="3:15">
      <c r="D3" s="3" t="s">
        <v>15</v>
      </c>
      <c r="E3" s="3" t="s">
        <v>16</v>
      </c>
      <c r="F3" s="3" t="s">
        <v>3</v>
      </c>
      <c r="G3" s="3" t="s">
        <v>12</v>
      </c>
      <c r="H3" s="3" t="s">
        <v>11</v>
      </c>
      <c r="L3" s="3" t="s">
        <v>46</v>
      </c>
      <c r="M3" s="3" t="s">
        <v>13</v>
      </c>
      <c r="N3" s="3" t="s">
        <v>47</v>
      </c>
      <c r="O3" s="3" t="s">
        <v>48</v>
      </c>
    </row>
    <row r="4" spans="3:15">
      <c r="D4" s="2" t="s">
        <v>18</v>
      </c>
      <c r="E4" s="2" t="s">
        <v>27</v>
      </c>
      <c r="F4" s="2" t="s">
        <v>77</v>
      </c>
      <c r="G4" s="2" t="s">
        <v>30</v>
      </c>
      <c r="H4" s="2" t="s">
        <v>40</v>
      </c>
      <c r="L4" s="5" t="s">
        <v>15</v>
      </c>
      <c r="M4" s="7" t="s">
        <v>18</v>
      </c>
      <c r="N4" s="2" t="s">
        <v>49</v>
      </c>
      <c r="O4" s="2"/>
    </row>
    <row r="5" spans="3:15">
      <c r="D5" s="2" t="s">
        <v>19</v>
      </c>
      <c r="E5" s="2" t="s">
        <v>28</v>
      </c>
      <c r="F5" s="2" t="s">
        <v>78</v>
      </c>
      <c r="G5" s="18" t="s">
        <v>31</v>
      </c>
      <c r="H5" s="2" t="s">
        <v>41</v>
      </c>
      <c r="L5" s="5"/>
      <c r="M5" s="2" t="s">
        <v>19</v>
      </c>
      <c r="N5" s="2" t="s">
        <v>50</v>
      </c>
      <c r="O5" s="2"/>
    </row>
    <row r="6" spans="3:15">
      <c r="D6" s="2" t="s">
        <v>20</v>
      </c>
      <c r="E6" s="2" t="s">
        <v>29</v>
      </c>
      <c r="F6" s="2" t="s">
        <v>79</v>
      </c>
      <c r="G6" s="18" t="s">
        <v>32</v>
      </c>
      <c r="H6" s="2" t="s">
        <v>42</v>
      </c>
      <c r="L6" s="5"/>
      <c r="M6" s="2" t="s">
        <v>20</v>
      </c>
      <c r="N6" s="2" t="s">
        <v>51</v>
      </c>
      <c r="O6" s="2"/>
    </row>
    <row r="7" spans="3:15">
      <c r="D7" s="2" t="s">
        <v>21</v>
      </c>
      <c r="E7" s="2"/>
      <c r="F7" s="2" t="s">
        <v>80</v>
      </c>
      <c r="G7" s="27" t="s">
        <v>94</v>
      </c>
      <c r="H7" s="2" t="s">
        <v>43</v>
      </c>
      <c r="L7" s="5"/>
      <c r="M7" s="2" t="s">
        <v>21</v>
      </c>
      <c r="N7" s="2" t="s">
        <v>52</v>
      </c>
      <c r="O7" s="2"/>
    </row>
    <row r="8" spans="3:15">
      <c r="D8" s="2" t="s">
        <v>22</v>
      </c>
      <c r="E8" s="2"/>
      <c r="F8" s="2"/>
      <c r="G8" s="28" t="s">
        <v>96</v>
      </c>
      <c r="H8" s="2" t="s">
        <v>73</v>
      </c>
      <c r="L8" s="5"/>
      <c r="M8" s="2" t="s">
        <v>22</v>
      </c>
      <c r="N8" s="2" t="s">
        <v>53</v>
      </c>
      <c r="O8" s="2"/>
    </row>
    <row r="9" spans="3:15">
      <c r="D9" s="2" t="s">
        <v>23</v>
      </c>
      <c r="E9" s="2"/>
      <c r="F9" s="2"/>
      <c r="G9" s="28" t="s">
        <v>33</v>
      </c>
      <c r="H9" s="2"/>
      <c r="L9" s="5"/>
      <c r="M9" s="2" t="s">
        <v>23</v>
      </c>
      <c r="N9" s="2" t="s">
        <v>54</v>
      </c>
      <c r="O9" s="2"/>
    </row>
    <row r="10" spans="3:15">
      <c r="D10" s="2" t="s">
        <v>24</v>
      </c>
      <c r="E10" s="2"/>
      <c r="F10" s="2"/>
      <c r="G10" s="28" t="s">
        <v>34</v>
      </c>
      <c r="H10" s="2"/>
      <c r="L10" s="5"/>
      <c r="M10" s="2" t="s">
        <v>24</v>
      </c>
      <c r="N10" s="2" t="s">
        <v>55</v>
      </c>
      <c r="O10" s="2"/>
    </row>
    <row r="11" spans="3:15">
      <c r="D11" s="2" t="s">
        <v>25</v>
      </c>
      <c r="E11" s="2"/>
      <c r="F11" s="2"/>
      <c r="G11" s="21" t="s">
        <v>35</v>
      </c>
      <c r="H11" s="2"/>
      <c r="L11" s="5"/>
      <c r="M11" s="2" t="s">
        <v>25</v>
      </c>
      <c r="N11" s="2" t="s">
        <v>56</v>
      </c>
      <c r="O11" s="2"/>
    </row>
    <row r="12" spans="3:15">
      <c r="D12" s="2" t="s">
        <v>26</v>
      </c>
      <c r="E12" s="2"/>
      <c r="F12" s="2"/>
      <c r="G12" s="21" t="s">
        <v>36</v>
      </c>
      <c r="H12" s="2"/>
      <c r="L12" s="6"/>
      <c r="M12" s="2" t="s">
        <v>26</v>
      </c>
      <c r="N12" s="2" t="s">
        <v>26</v>
      </c>
      <c r="O12" s="2"/>
    </row>
    <row r="13" spans="3:15">
      <c r="D13" s="2"/>
      <c r="E13" s="2"/>
      <c r="F13" s="2"/>
      <c r="G13" s="19" t="s">
        <v>37</v>
      </c>
      <c r="H13" s="2"/>
      <c r="L13" s="4" t="s">
        <v>16</v>
      </c>
      <c r="M13" s="2" t="s">
        <v>27</v>
      </c>
      <c r="N13" s="2" t="s">
        <v>57</v>
      </c>
      <c r="O13" s="2"/>
    </row>
    <row r="14" spans="3:15">
      <c r="D14" s="2"/>
      <c r="E14" s="2"/>
      <c r="F14" s="2"/>
      <c r="G14" s="19" t="s">
        <v>38</v>
      </c>
      <c r="H14" s="2"/>
      <c r="L14" s="5"/>
      <c r="M14" s="2" t="s">
        <v>28</v>
      </c>
      <c r="N14" s="2" t="s">
        <v>58</v>
      </c>
      <c r="O14" s="2"/>
    </row>
    <row r="15" spans="3:15">
      <c r="D15" s="2"/>
      <c r="E15" s="2"/>
      <c r="F15" s="2"/>
      <c r="G15" s="20" t="s">
        <v>39</v>
      </c>
      <c r="H15" s="2"/>
      <c r="L15" s="6"/>
      <c r="M15" s="2" t="s">
        <v>29</v>
      </c>
      <c r="N15" s="2" t="s">
        <v>59</v>
      </c>
      <c r="O15" s="2"/>
    </row>
    <row r="16" spans="3:15">
      <c r="D16" s="2"/>
      <c r="E16" s="2"/>
      <c r="F16" s="2"/>
      <c r="G16" s="2"/>
      <c r="H16" s="2"/>
      <c r="L16" s="5" t="s">
        <v>3</v>
      </c>
      <c r="M16" s="2" t="s">
        <v>77</v>
      </c>
      <c r="N16" s="2" t="s">
        <v>77</v>
      </c>
      <c r="O16" s="2"/>
    </row>
    <row r="17" spans="3:15">
      <c r="D17" s="14" t="s">
        <v>89</v>
      </c>
      <c r="L17" s="5"/>
      <c r="M17" s="2" t="s">
        <v>78</v>
      </c>
      <c r="N17" s="2" t="s">
        <v>81</v>
      </c>
      <c r="O17" s="2"/>
    </row>
    <row r="18" spans="3:15">
      <c r="C18" t="s">
        <v>17</v>
      </c>
      <c r="L18" s="5"/>
      <c r="M18" s="2" t="s">
        <v>79</v>
      </c>
      <c r="N18" s="2" t="s">
        <v>82</v>
      </c>
      <c r="O18" s="2"/>
    </row>
    <row r="19" spans="3:15">
      <c r="L19" s="5"/>
      <c r="M19" s="2" t="s">
        <v>80</v>
      </c>
      <c r="N19" s="2" t="s">
        <v>83</v>
      </c>
      <c r="O19" s="2"/>
    </row>
    <row r="20" spans="3:15">
      <c r="D20" s="3" t="s">
        <v>44</v>
      </c>
      <c r="L20" s="4" t="s">
        <v>12</v>
      </c>
      <c r="M20" s="2" t="s">
        <v>30</v>
      </c>
      <c r="N20" s="2" t="s">
        <v>60</v>
      </c>
      <c r="O20" s="2"/>
    </row>
    <row r="21" spans="3:15">
      <c r="D21" s="10" t="s">
        <v>75</v>
      </c>
      <c r="L21" s="5"/>
      <c r="M21" s="2" t="s">
        <v>31</v>
      </c>
      <c r="N21" s="2" t="s">
        <v>61</v>
      </c>
      <c r="O21" s="2"/>
    </row>
    <row r="22" spans="3:15">
      <c r="D22" s="10" t="s">
        <v>76</v>
      </c>
      <c r="L22" s="5"/>
      <c r="M22" s="2" t="s">
        <v>32</v>
      </c>
      <c r="N22" s="2" t="s">
        <v>62</v>
      </c>
      <c r="O22" s="2"/>
    </row>
    <row r="23" spans="3:15">
      <c r="D23" s="2"/>
      <c r="L23" s="5"/>
      <c r="M23" s="2" t="s">
        <v>95</v>
      </c>
      <c r="N23" s="2" t="s">
        <v>91</v>
      </c>
      <c r="O23" s="2"/>
    </row>
    <row r="24" spans="3:15">
      <c r="D24" s="2"/>
      <c r="L24" s="5"/>
      <c r="M24" s="2" t="s">
        <v>96</v>
      </c>
      <c r="N24" s="2" t="s">
        <v>98</v>
      </c>
      <c r="O24" s="2"/>
    </row>
    <row r="25" spans="3:15">
      <c r="D25" s="2"/>
      <c r="L25" s="5"/>
      <c r="M25" s="2" t="s">
        <v>33</v>
      </c>
      <c r="N25" s="2" t="s">
        <v>97</v>
      </c>
      <c r="O25" s="2"/>
    </row>
    <row r="26" spans="3:15">
      <c r="D26" s="2"/>
      <c r="L26" s="5"/>
      <c r="M26" s="2" t="s">
        <v>34</v>
      </c>
      <c r="N26" s="2" t="s">
        <v>63</v>
      </c>
      <c r="O26" s="2"/>
    </row>
    <row r="27" spans="3:15">
      <c r="D27" s="2"/>
      <c r="L27" s="5"/>
      <c r="M27" s="2" t="s">
        <v>35</v>
      </c>
      <c r="N27" s="2" t="s">
        <v>64</v>
      </c>
      <c r="O27" s="2"/>
    </row>
    <row r="28" spans="3:15">
      <c r="D28" s="2"/>
      <c r="L28" s="5"/>
      <c r="M28" s="2" t="s">
        <v>36</v>
      </c>
      <c r="N28" s="2" t="s">
        <v>65</v>
      </c>
      <c r="O28" s="2"/>
    </row>
    <row r="29" spans="3:15">
      <c r="D29" s="2"/>
      <c r="L29" s="5"/>
      <c r="M29" s="2" t="s">
        <v>37</v>
      </c>
      <c r="N29" s="2" t="s">
        <v>66</v>
      </c>
      <c r="O29" s="2"/>
    </row>
    <row r="30" spans="3:15">
      <c r="D30" s="2"/>
      <c r="L30" s="5"/>
      <c r="M30" s="2" t="s">
        <v>38</v>
      </c>
      <c r="N30" s="2" t="s">
        <v>67</v>
      </c>
      <c r="O30" s="2"/>
    </row>
    <row r="31" spans="3:15">
      <c r="D31" s="2"/>
      <c r="L31" s="6"/>
      <c r="M31" s="2" t="s">
        <v>39</v>
      </c>
      <c r="N31" s="2" t="s">
        <v>68</v>
      </c>
      <c r="O31" s="2"/>
    </row>
    <row r="32" spans="3:15">
      <c r="D32" s="2"/>
      <c r="L32" s="4" t="s">
        <v>11</v>
      </c>
      <c r="M32" s="2" t="s">
        <v>40</v>
      </c>
      <c r="N32" s="2" t="s">
        <v>69</v>
      </c>
      <c r="O32" s="2"/>
    </row>
    <row r="33" spans="4:15">
      <c r="D33" s="2"/>
      <c r="L33" s="5"/>
      <c r="M33" s="2" t="s">
        <v>41</v>
      </c>
      <c r="N33" s="2" t="s">
        <v>70</v>
      </c>
      <c r="O33" s="2"/>
    </row>
    <row r="34" spans="4:15">
      <c r="D34" s="2"/>
      <c r="L34" s="5"/>
      <c r="M34" s="2" t="s">
        <v>42</v>
      </c>
      <c r="N34" s="2" t="s">
        <v>71</v>
      </c>
      <c r="O34" s="2"/>
    </row>
    <row r="35" spans="4:15">
      <c r="D35" s="2"/>
      <c r="L35" s="5"/>
      <c r="M35" s="2" t="s">
        <v>43</v>
      </c>
      <c r="N35" s="2" t="s">
        <v>72</v>
      </c>
      <c r="O35" s="2"/>
    </row>
    <row r="36" spans="4:15">
      <c r="D36" s="2"/>
      <c r="L36" s="6"/>
      <c r="M36" s="2" t="s">
        <v>73</v>
      </c>
      <c r="N36" s="2" t="s">
        <v>74</v>
      </c>
      <c r="O36" s="2"/>
    </row>
    <row r="37" spans="4:15">
      <c r="D37" s="2"/>
    </row>
    <row r="38" spans="4:15">
      <c r="D38" s="2"/>
    </row>
    <row r="39" spans="4:15">
      <c r="D39" s="2"/>
    </row>
    <row r="40" spans="4:15">
      <c r="D40" s="2"/>
    </row>
    <row r="41" spans="4:15">
      <c r="D41" s="14" t="s">
        <v>89</v>
      </c>
    </row>
  </sheetData>
  <phoneticPr fontId="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3.5"/>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vt:i4>
      </vt:variant>
    </vt:vector>
  </HeadingPairs>
  <TitlesOfParts>
    <vt:vector size="10" baseType="lpstr">
      <vt:lpstr>一覧</vt:lpstr>
      <vt:lpstr>マスタ</vt:lpstr>
      <vt:lpstr>Sheet3</vt:lpstr>
      <vt:lpstr>inputTable</vt:lpstr>
      <vt:lpstr>M_Priority</vt:lpstr>
      <vt:lpstr>M_Process</vt:lpstr>
      <vt:lpstr>M_Relation</vt:lpstr>
      <vt:lpstr>M_Situation</vt:lpstr>
      <vt:lpstr>M_Task</vt:lpstr>
      <vt:lpstr>M_WorkName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JO1110026</dc:creator>
  <cp:lastModifiedBy>JO1110026</cp:lastModifiedBy>
  <dcterms:created xsi:type="dcterms:W3CDTF">2015-11-04T00:44:46Z</dcterms:created>
  <dcterms:modified xsi:type="dcterms:W3CDTF">2015-11-10T13:04:52Z</dcterms:modified>
</cp:coreProperties>
</file>